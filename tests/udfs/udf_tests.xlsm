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hilip34\Desktop\xlwings fork\xlwings\tests\udfs\"/>
    </mc:Choice>
  </mc:AlternateContent>
  <xr:revisionPtr revIDLastSave="0" documentId="13_ncr:1_{DD00BA08-CDF2-4A5F-AF8D-26D4411DD30A}" xr6:coauthVersionLast="47" xr6:coauthVersionMax="47" xr10:uidLastSave="{00000000-0000-0000-0000-000000000000}"/>
  <bookViews>
    <workbookView xWindow="-45120" yWindow="-9840" windowWidth="16440" windowHeight="2844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 concurrentCalc="0"/>
  <extLst>
    <ext xmlns:x14="http://schemas.microsoft.com/office/spreadsheetml/2009/9/main" uri="{8193D73E-4604-4355-AFF4-8A2333D13BE4}">
      <x14:definedNames>
        <x14:definedName name="cell_caller_multiple_args">
          <x14:argumentDescriptions count="1">
            <x14:argumentDescription index="0">Positional argument 1</x14:argumentDescription>
          </x14:argumentDescriptions>
        </x14:definedName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5" i="1" l="1" a="1"/>
  <c r="G355" i="1"/>
  <c r="G353" i="1" a="1"/>
  <c r="G353" i="1"/>
  <c r="G350" i="1" a="1"/>
  <c r="G350" i="1"/>
  <c r="I350" i="1"/>
  <c r="A350" i="1"/>
  <c r="G6" i="1"/>
  <c r="G344" i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H353" i="1"/>
  <c r="A353" i="1"/>
  <c r="H355" i="1"/>
  <c r="A355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<sst xmlns="http://schemas.openxmlformats.org/spreadsheetml/2006/main" count="296" uniqueCount="141">
  <si>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</si>
  <si>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</si>
  <si>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</si>
  <si>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</si>
  <si>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</si>
  <si>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</si>
  <si>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</si>
  <si>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</si>
  <si>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</si>
  <si>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</si>
  <si>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</si>
  <si>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</si>
  <si>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</si>
  <si>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</si>
  <si>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</si>
  <si>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</si>
  <si>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</si>
  <si>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</si>
  <si>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</si>
  <si>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</si>
  <si>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</si>
  <si>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</si>
  <si>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</si>
  <si>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</si>
  <si>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</si>
  <si>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</si>
  <si>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</si>
  <si>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</si>
  <si>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</si>
  <si>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</si>
  <si>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</si>
  <si>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</si>
  <si>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</si>
  <si>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</si>
  <si>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</si>
  <si>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</si>
  <si>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</si>
  <si>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</si>
  <si>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</si>
  <si>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</si>
  <si>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</si>
  <si>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</si>
  <si>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</si>
  <si>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</si>
  <si>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</si>
  <si>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</si>
  <si>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</si>
  <si>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</si>
  <si>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</si>
  <si>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</si>
  <si>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</si>
  <si>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</si>
  <si>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</si>
  <si>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</si>
  <si>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</si>
  <si>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</si>
  <si>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</si>
  <si>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</si>
  <si>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</si>
  <si>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</si>
  <si>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</si>
  <si>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</si>
  <si>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</si>
  <si>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</si>
  <si>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</si>
  <si>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</si>
  <si>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</si>
  <si>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</si>
  <si>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</si>
  <si>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</si>
  <si>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</si>
  <si>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</si>
  <si>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</si>
  <si>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</si>
  <si>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</si>
  <si>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</si>
  <si>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</si>
  <si>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</si>
  <si>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</si>
  <si>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</si>
  <si>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</si>
  <si>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</si>
  <si>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</si>
  <si>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</si>
  <si>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</si>
  <si>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</si>
  <si>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</si>
  <si>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</si>
  <si>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</si>
  <si>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</si>
  <si>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</si>
  <si>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</si>
  <si>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</si>
  <si>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</si>
  <si>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</si>
  <si>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</si>
  <si>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</si>
  <si>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</si>
  <si>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</si>
  <si>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</si>
  <si>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</si>
  <si>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</si>
  <si>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</si>
  <si>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</si>
  <si>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</si>
  <si>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</si>
  <si>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</si>
  <si>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</si>
  <si>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</si>
  <si>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</si>
  <si>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</si>
  <si>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</si>
  <si>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</si>
  <si>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</si>
  <si>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</si>
  <si>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</si>
  <si>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</si>
  <si>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</si>
  <si>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</si>
  <si>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</si>
  <si>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</si>
  <si>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</si>
  <si>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</si>
  <si>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</si>
  <si>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</si>
  <si>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</si>
  <si>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</si>
  <si>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</si>
  <si>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</si>
  <si>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</si>
  <si>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</si>
  <si>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</si>
  <si>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</si>
  <si>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</si>
  <si>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</si>
  <si>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</si>
  <si>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</si>
  <si>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</si>
  <si>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cell_caller_multiple_args</t>
  </si>
  <si>
    <t>cell_caller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</si>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</sst>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</xdr:row>
          <xdr:rowOff>190500</xdr:rowOff>
        </xdr:from>
        <xdr:to>
          <xdr:col>4</xdr:col>
          <xdr:colOff>243840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55"/>
  <sheetViews>
    <sheetView tabSelected="1" topLeftCell="A336" zoomScale="60" zoomScaleNormal="60" workbookViewId="0">
      <selection activeCell="E363" sqref="E363"/>
    </sheetView>
  </sheetViews>
  <sheetFormatPr defaultColWidth="11" defaultRowHeight="15.6" x14ac:dyDescent="0.3"/>
  <cols>
    <col min="2" max="2" width="39" bestFit="1" customWidth="1"/>
    <col min="3" max="3" width="13.19921875" customWidth="1"/>
    <col min="4" max="5" width="13.8984375" bestFit="1" customWidth="1"/>
    <col min="6" max="7" width="16.3984375" bestFit="1" customWidth="1"/>
  </cols>
  <sheetData>
    <row r="1" spans="1:8" x14ac:dyDescent="0.3">
      <c r="A1" t="s">
        <v>86</v>
      </c>
      <c r="F1" s="17" t="s">
        <v>0</v>
      </c>
      <c r="G1" s="18" t="s">
        <v>1</v>
      </c>
      <c r="H1" s="14" t="s">
        <v>76</v>
      </c>
    </row>
    <row r="3" spans="1:8" x14ac:dyDescent="0.3">
      <c r="A3" s="14" t="s">
        <v>77</v>
      </c>
      <c r="B3" s="19">
        <f>COUNTIF(A:A,FALSE)</f>
        <v>0</v>
      </c>
    </row>
    <row r="6" spans="1:8" x14ac:dyDescent="0.3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t="b">
        <f>F6=G6</f>
        <v>1</v>
      </c>
    </row>
    <row r="7" spans="1:8" x14ac:dyDescent="0.3">
      <c r="D7">
        <v>2</v>
      </c>
      <c r="F7" s="1" t="b">
        <v>1</v>
      </c>
      <c r="G7" s="2" t="b">
        <f>read_float(D7)</f>
        <v>1</v>
      </c>
      <c r="H7" t="b">
        <f>F7=G7</f>
        <v>1</v>
      </c>
    </row>
    <row r="9" spans="1:8" x14ac:dyDescent="0.3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t="b">
        <f>F9=G9</f>
        <v>1</v>
      </c>
    </row>
    <row r="11" spans="1:8" x14ac:dyDescent="0.3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t="b">
        <f>F11=G11</f>
        <v>1</v>
      </c>
    </row>
    <row r="12" spans="1:8" x14ac:dyDescent="0.3">
      <c r="D12" s="8" t="s">
        <v>2</v>
      </c>
      <c r="F12" s="1" t="b">
        <v>1</v>
      </c>
      <c r="G12" s="2" t="b">
        <f>read_string(D12)</f>
        <v>1</v>
      </c>
      <c r="H12" t="b">
        <f>F12=G12</f>
        <v>1</v>
      </c>
    </row>
    <row r="14" spans="1:8" x14ac:dyDescent="0.3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t="b">
        <f>F14=G14</f>
        <v>1</v>
      </c>
    </row>
    <row r="16" spans="1:8" x14ac:dyDescent="0.3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t="b">
        <f>F16=G16</f>
        <v>1</v>
      </c>
    </row>
    <row r="18" spans="1:10" x14ac:dyDescent="0.3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>
        <f>read_date(D18)</f>
        <v>1</v>
      </c>
      <c r="H18" t="b">
        <f>F18=G18</f>
        <v>1</v>
      </c>
    </row>
    <row r="20" spans="1:10" x14ac:dyDescent="0.3">
      <c r="A20" t="b">
        <f>H20</f>
        <v>1</v>
      </c>
      <c r="B20" s="3" t="s">
        <v>11</v>
      </c>
      <c r="C20" s="3"/>
      <c r="D20" s="4"/>
      <c r="F20" s="5">
        <v>25568</v>
      </c>
      <c r="G20" s="6">
        <f>write_date()</f>
        <v>25568</v>
      </c>
      <c r="H20" t="b">
        <f>F20=G20</f>
        <v>1</v>
      </c>
    </row>
    <row r="21" spans="1:10" x14ac:dyDescent="0.3">
      <c r="D21" s="4"/>
    </row>
    <row r="22" spans="1:10" x14ac:dyDescent="0.3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>
        <f>read_datetime(D22)</f>
        <v>1</v>
      </c>
      <c r="H22" t="b">
        <f>F22=G22</f>
        <v>1</v>
      </c>
    </row>
    <row r="23" spans="1:10" x14ac:dyDescent="0.3">
      <c r="D23" s="4"/>
      <c r="F23" s="4"/>
      <c r="G23" s="4"/>
    </row>
    <row r="24" spans="1:10" x14ac:dyDescent="0.3">
      <c r="A24" t="b">
        <f>H24</f>
        <v>1</v>
      </c>
      <c r="B24" s="3" t="s">
        <v>13</v>
      </c>
      <c r="C24" s="3"/>
      <c r="D24" s="4"/>
      <c r="F24" s="15">
        <v>27805.546099537038</v>
      </c>
      <c r="G24" s="16">
        <f>write_datetime()</f>
        <v>27805.546099537038</v>
      </c>
      <c r="H24" t="b">
        <f>F24=G24</f>
        <v>1</v>
      </c>
    </row>
    <row r="25" spans="1:10" x14ac:dyDescent="0.3">
      <c r="D25" s="4"/>
      <c r="F25" s="4"/>
      <c r="G25" s="4"/>
    </row>
    <row r="26" spans="1:10" x14ac:dyDescent="0.3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>
        <f>read_horizontal_list(D26:E26)</f>
        <v>1</v>
      </c>
      <c r="H26" t="b">
        <f>F26=G26</f>
        <v>1</v>
      </c>
    </row>
    <row r="28" spans="1:10" x14ac:dyDescent="0.3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3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3">
      <c r="D31">
        <v>2</v>
      </c>
    </row>
    <row r="33" spans="1:10" x14ac:dyDescent="0.3">
      <c r="A33" t="b">
        <f>AND(H33:H34)</f>
        <v>1</v>
      </c>
      <c r="B33" s="3" t="s">
        <v>17</v>
      </c>
      <c r="C33" s="3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3">
      <c r="F34" s="1">
        <v>2</v>
      </c>
      <c r="G34" s="2">
        <v>2</v>
      </c>
      <c r="H34" t="b">
        <f>G34=F34</f>
        <v>1</v>
      </c>
    </row>
    <row r="36" spans="1:10" x14ac:dyDescent="0.3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>
        <f>read_2dlist(D36:E37)</f>
        <v>1</v>
      </c>
      <c r="H36" t="b">
        <f>G36=F36</f>
        <v>1</v>
      </c>
    </row>
    <row r="37" spans="1:10" x14ac:dyDescent="0.3">
      <c r="D37">
        <v>3</v>
      </c>
      <c r="E37">
        <v>4</v>
      </c>
    </row>
    <row r="39" spans="1:10" x14ac:dyDescent="0.3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3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3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3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3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3">
      <c r="D47">
        <v>3</v>
      </c>
      <c r="E47">
        <v>4</v>
      </c>
    </row>
    <row r="49" spans="1:10" x14ac:dyDescent="0.3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3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3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3">
      <c r="D53" s="4">
        <v>36861</v>
      </c>
      <c r="E53">
        <v>4</v>
      </c>
    </row>
    <row r="54" spans="1:10" x14ac:dyDescent="0.3">
      <c r="D54" s="4"/>
    </row>
    <row r="55" spans="1:10" x14ac:dyDescent="0.3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3">
      <c r="D56" s="4"/>
    </row>
    <row r="58" spans="1:10" x14ac:dyDescent="0.3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3">
      <c r="D59" s="4">
        <v>36861</v>
      </c>
      <c r="E59">
        <v>4</v>
      </c>
    </row>
    <row r="61" spans="1:10" x14ac:dyDescent="0.3">
      <c r="A61" t="b">
        <f>H61</f>
        <v>1</v>
      </c>
      <c r="B61" s="3" t="s">
        <v>27</v>
      </c>
      <c r="C61" s="3"/>
      <c r="D61">
        <v>1</v>
      </c>
      <c r="E61" s="4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3">
      <c r="D62" s="4"/>
      <c r="E62">
        <v>4</v>
      </c>
    </row>
    <row r="63" spans="1:10" x14ac:dyDescent="0.3">
      <c r="D63" s="4"/>
    </row>
    <row r="64" spans="1:10" x14ac:dyDescent="0.3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3">
      <c r="D65" s="8" t="s">
        <v>51</v>
      </c>
      <c r="E65" s="8" t="s">
        <v>52</v>
      </c>
    </row>
    <row r="67" spans="1:10" x14ac:dyDescent="0.3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3">
      <c r="D68" s="8" t="s">
        <v>51</v>
      </c>
      <c r="E68" s="8" t="s">
        <v>52</v>
      </c>
    </row>
    <row r="70" spans="1:10" x14ac:dyDescent="0.3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>
        <f t="array" ref="G70:H71">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3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3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3">
      <c r="B74" s="3"/>
      <c r="C74" s="3"/>
    </row>
    <row r="75" spans="1:10" x14ac:dyDescent="0.3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3">
      <c r="B76" s="3"/>
      <c r="C76" s="3"/>
    </row>
    <row r="77" spans="1:10" x14ac:dyDescent="0.3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3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3">
      <c r="D80">
        <v>2</v>
      </c>
    </row>
    <row r="82" spans="1:10" x14ac:dyDescent="0.3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3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3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3">
      <c r="D87">
        <v>3</v>
      </c>
      <c r="E87">
        <v>4</v>
      </c>
    </row>
    <row r="89" spans="1:10" x14ac:dyDescent="0.3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3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3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3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3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x14ac:dyDescent="0.3">
      <c r="B97" s="3"/>
      <c r="C97" s="3"/>
    </row>
    <row r="98" spans="1:8" x14ac:dyDescent="0.3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x14ac:dyDescent="0.3">
      <c r="B99" s="3"/>
      <c r="C99" s="3"/>
    </row>
    <row r="100" spans="1:8" x14ac:dyDescent="0.3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3">
      <c r="D101">
        <v>2</v>
      </c>
    </row>
    <row r="103" spans="1:8" x14ac:dyDescent="0.3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3">
      <c r="D104">
        <v>20</v>
      </c>
      <c r="E104">
        <v>2</v>
      </c>
    </row>
    <row r="106" spans="1:8" x14ac:dyDescent="0.3">
      <c r="A106" t="b">
        <f>H106</f>
        <v>1</v>
      </c>
      <c r="B106" s="3" t="s">
        <v>39</v>
      </c>
      <c r="C106" s="3"/>
      <c r="E106" s="8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3">
      <c r="E107">
        <v>1</v>
      </c>
    </row>
    <row r="108" spans="1:8" x14ac:dyDescent="0.3">
      <c r="E108">
        <v>2</v>
      </c>
    </row>
    <row r="110" spans="1:8" x14ac:dyDescent="0.3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3">
      <c r="D111">
        <v>10</v>
      </c>
      <c r="E111">
        <v>1</v>
      </c>
    </row>
    <row r="112" spans="1:8" x14ac:dyDescent="0.3">
      <c r="D112">
        <v>20</v>
      </c>
      <c r="E112">
        <v>2</v>
      </c>
    </row>
    <row r="114" spans="1:10" x14ac:dyDescent="0.3">
      <c r="A114" t="b">
        <f>H114</f>
        <v>1</v>
      </c>
      <c r="B114" s="3" t="s">
        <v>41</v>
      </c>
      <c r="C114" s="3"/>
      <c r="E114" s="8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3">
      <c r="D115">
        <v>10</v>
      </c>
      <c r="E115">
        <v>1</v>
      </c>
    </row>
    <row r="116" spans="1:10" x14ac:dyDescent="0.3">
      <c r="D116">
        <v>20</v>
      </c>
      <c r="E116">
        <v>2</v>
      </c>
    </row>
    <row r="118" spans="1:10" x14ac:dyDescent="0.3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3">
      <c r="F119" s="1">
        <v>2</v>
      </c>
      <c r="G119" s="2">
        <v>2</v>
      </c>
      <c r="H119" t="b">
        <f t="shared" si="0"/>
        <v>1</v>
      </c>
    </row>
    <row r="121" spans="1:10" x14ac:dyDescent="0.3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3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3">
      <c r="A124" t="b">
        <f>AND(H124:H126)</f>
        <v>1</v>
      </c>
      <c r="B124" s="3" t="s">
        <v>44</v>
      </c>
      <c r="C124" s="3"/>
      <c r="F124" s="10" t="s">
        <v>3</v>
      </c>
      <c r="G124" s="11" t="str">
        <f t="array" ref="G124:G126">write_series_header_noindex()</f>
        <v>name</v>
      </c>
      <c r="H124" t="b">
        <f>F124=G124</f>
        <v>1</v>
      </c>
    </row>
    <row r="125" spans="1:10" x14ac:dyDescent="0.3">
      <c r="F125" s="10">
        <v>1</v>
      </c>
      <c r="G125" s="11">
        <v>1</v>
      </c>
      <c r="H125" t="b">
        <f>F125=G125</f>
        <v>1</v>
      </c>
    </row>
    <row r="126" spans="1:10" x14ac:dyDescent="0.3">
      <c r="F126" s="10">
        <v>2</v>
      </c>
      <c r="G126" s="11">
        <v>2</v>
      </c>
      <c r="H126" t="b">
        <f>F126=G126</f>
        <v>1</v>
      </c>
    </row>
    <row r="128" spans="1:10" x14ac:dyDescent="0.3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>
        <f t="array" ref="G128:H130">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3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3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3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3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3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3">
      <c r="A136" t="b">
        <f>H136</f>
        <v>1</v>
      </c>
      <c r="B136" s="3" t="s">
        <v>47</v>
      </c>
      <c r="C136" s="3"/>
      <c r="E136" s="8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3">
      <c r="D137" s="4">
        <v>36880</v>
      </c>
      <c r="E137">
        <v>1.5</v>
      </c>
    </row>
    <row r="138" spans="1:10" x14ac:dyDescent="0.3">
      <c r="D138" s="4">
        <v>36881</v>
      </c>
      <c r="E138">
        <v>2.5</v>
      </c>
    </row>
    <row r="139" spans="1:10" x14ac:dyDescent="0.3">
      <c r="D139" s="4"/>
    </row>
    <row r="140" spans="1:10" x14ac:dyDescent="0.3">
      <c r="A140" t="b">
        <f>AND(I140:J142)</f>
        <v>1</v>
      </c>
      <c r="B140" s="3" t="s">
        <v>49</v>
      </c>
      <c r="C140" s="3"/>
      <c r="E140" s="10"/>
      <c r="F140" s="10" t="s">
        <v>48</v>
      </c>
      <c r="G140" s="11" t="str">
        <f t="array" ref="G140:H142">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3">
      <c r="E141" s="12">
        <v>36880</v>
      </c>
      <c r="F141" s="10">
        <v>1.5</v>
      </c>
      <c r="G141" s="1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3">
      <c r="E142" s="12">
        <v>36881</v>
      </c>
      <c r="F142" s="10">
        <v>2.5</v>
      </c>
      <c r="G142" s="13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3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3">
      <c r="D145">
        <v>3</v>
      </c>
      <c r="E145">
        <v>4</v>
      </c>
    </row>
    <row r="147" spans="1:10" x14ac:dyDescent="0.3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3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3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>
        <f>read_df_1header_0index(D150:E152)</f>
        <v>1</v>
      </c>
      <c r="H150" t="b">
        <f>G150=F150</f>
        <v>1</v>
      </c>
    </row>
    <row r="151" spans="1:10" x14ac:dyDescent="0.3">
      <c r="D151" s="8">
        <v>1</v>
      </c>
      <c r="E151" s="8">
        <v>2</v>
      </c>
    </row>
    <row r="152" spans="1:10" x14ac:dyDescent="0.3">
      <c r="D152" s="8">
        <v>3</v>
      </c>
      <c r="E152" s="8">
        <v>4</v>
      </c>
    </row>
    <row r="154" spans="1:10" x14ac:dyDescent="0.3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>
        <f t="array" ref="G154:H156">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3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3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3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>
        <f>read_df_0header_1index(C158:E159)</f>
        <v>1</v>
      </c>
      <c r="H158" t="b">
        <f>G158=F158</f>
        <v>1</v>
      </c>
    </row>
    <row r="159" spans="1:10" x14ac:dyDescent="0.3">
      <c r="C159">
        <v>20</v>
      </c>
      <c r="D159" s="8">
        <v>3</v>
      </c>
      <c r="E159" s="8">
        <v>4</v>
      </c>
    </row>
    <row r="161" spans="1:16" x14ac:dyDescent="0.3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>
        <f t="array" ref="G161:I162">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3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3">
      <c r="E163" s="8"/>
      <c r="F163" s="8"/>
      <c r="H163" s="8"/>
      <c r="I163" s="8"/>
    </row>
    <row r="164" spans="1:16" x14ac:dyDescent="0.3">
      <c r="A164" t="b">
        <f>H164</f>
        <v>1</v>
      </c>
      <c r="B164" s="3" t="s">
        <v>84</v>
      </c>
      <c r="E164" s="8"/>
      <c r="F164" s="1" t="b">
        <v>1</v>
      </c>
      <c r="G164" s="2" t="b">
        <f>read_df_0header_2index(B166:F168)</f>
        <v>1</v>
      </c>
      <c r="H164" t="b">
        <f>G164=F164</f>
        <v>1</v>
      </c>
      <c r="I164" s="8"/>
    </row>
    <row r="165" spans="1:16" x14ac:dyDescent="0.3">
      <c r="E165" s="8"/>
      <c r="F165" s="8"/>
      <c r="H165" s="8"/>
      <c r="I165" s="8"/>
    </row>
    <row r="166" spans="1:16" x14ac:dyDescent="0.3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3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3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3">
      <c r="B169" s="20"/>
      <c r="C169" s="20"/>
      <c r="D169" s="8"/>
      <c r="E169" s="8"/>
      <c r="F169" s="8"/>
      <c r="H169" s="8"/>
      <c r="I169" s="8"/>
    </row>
    <row r="170" spans="1:16" x14ac:dyDescent="0.3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3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>
        <f t="array" ref="G171:K173">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3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3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3">
      <c r="B174" s="20"/>
      <c r="C174" s="20"/>
      <c r="D174" s="8"/>
      <c r="E174" s="8"/>
      <c r="F174" s="8"/>
      <c r="H174" s="8"/>
      <c r="I174" s="8"/>
    </row>
    <row r="175" spans="1:16" x14ac:dyDescent="0.3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3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3">
      <c r="B177" s="8">
        <v>1</v>
      </c>
      <c r="C177" s="8">
        <v>1</v>
      </c>
      <c r="D177" s="8">
        <v>2</v>
      </c>
      <c r="E177" s="8">
        <v>3</v>
      </c>
    </row>
    <row r="178" spans="1:14" x14ac:dyDescent="0.3">
      <c r="B178" s="8">
        <v>2</v>
      </c>
      <c r="C178" s="8">
        <v>4</v>
      </c>
      <c r="D178" s="8">
        <v>5</v>
      </c>
      <c r="E178" s="8">
        <v>6</v>
      </c>
    </row>
    <row r="179" spans="1:14" x14ac:dyDescent="0.3">
      <c r="B179" s="8"/>
      <c r="C179" s="8"/>
      <c r="D179" s="8"/>
      <c r="E179" s="8"/>
    </row>
    <row r="180" spans="1:14" x14ac:dyDescent="0.3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>
        <f t="array" ref="G180:J182">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3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3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3">
      <c r="B183" s="8"/>
    </row>
    <row r="184" spans="1:14" x14ac:dyDescent="0.3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3">
      <c r="B185" s="8"/>
      <c r="C185" s="8" t="s">
        <v>52</v>
      </c>
      <c r="D185" s="8" t="s">
        <v>56</v>
      </c>
      <c r="E185" s="8" t="s">
        <v>52</v>
      </c>
    </row>
    <row r="186" spans="1:14" x14ac:dyDescent="0.3">
      <c r="B186" s="8">
        <v>1</v>
      </c>
      <c r="C186" s="8">
        <v>1</v>
      </c>
      <c r="D186" s="8">
        <v>2</v>
      </c>
      <c r="E186" s="8">
        <v>3</v>
      </c>
    </row>
    <row r="187" spans="1:14" x14ac:dyDescent="0.3">
      <c r="B187" s="8">
        <v>2</v>
      </c>
      <c r="C187" s="8">
        <v>4</v>
      </c>
      <c r="D187" s="8">
        <v>5</v>
      </c>
      <c r="E187" s="8">
        <v>6</v>
      </c>
    </row>
    <row r="188" spans="1:14" x14ac:dyDescent="0.3">
      <c r="B188" s="8"/>
      <c r="C188" s="8"/>
      <c r="D188" s="8"/>
      <c r="E188" s="8"/>
    </row>
    <row r="189" spans="1:14" x14ac:dyDescent="0.3">
      <c r="A189" t="b">
        <f>AND(K189:N191)</f>
        <v>1</v>
      </c>
      <c r="B189" s="3" t="s">
        <v>70</v>
      </c>
      <c r="C189" s="10"/>
      <c r="D189" s="10" t="s">
        <v>52</v>
      </c>
      <c r="E189" s="10" t="s">
        <v>56</v>
      </c>
      <c r="F189" s="10" t="s">
        <v>52</v>
      </c>
      <c r="G189" s="11" t="str">
        <f t="array" ref="G189:J191">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3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3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3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3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>
        <f t="array" ref="G193">read_df_2header_0index(C194:E197)</f>
        <v>1</v>
      </c>
      <c r="H193" s="8" t="b">
        <f>F193=G193</f>
        <v>1</v>
      </c>
      <c r="I193" s="8"/>
      <c r="J193" s="8"/>
    </row>
    <row r="194" spans="1:12" x14ac:dyDescent="0.3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3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3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3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3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3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>
        <f t="array" ref="G199:I202">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3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3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3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3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3">
      <c r="C205" s="8" t="s">
        <v>50</v>
      </c>
      <c r="D205" s="8" t="s">
        <v>50</v>
      </c>
      <c r="E205" s="8" t="s">
        <v>51</v>
      </c>
    </row>
    <row r="206" spans="1:12" x14ac:dyDescent="0.3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3">
      <c r="B207" s="8">
        <v>1</v>
      </c>
      <c r="C207" s="8">
        <v>1</v>
      </c>
      <c r="D207" s="8">
        <v>2</v>
      </c>
      <c r="E207" s="8">
        <v>3</v>
      </c>
    </row>
    <row r="208" spans="1:12" x14ac:dyDescent="0.3">
      <c r="B208" s="8">
        <v>2</v>
      </c>
      <c r="C208" s="8">
        <v>4</v>
      </c>
      <c r="D208" s="8">
        <v>5</v>
      </c>
      <c r="E208" s="8">
        <v>6</v>
      </c>
    </row>
    <row r="209" spans="1:14" x14ac:dyDescent="0.3">
      <c r="B209" s="8"/>
      <c r="C209" s="8"/>
      <c r="D209" s="8"/>
      <c r="E209" s="8"/>
    </row>
    <row r="210" spans="1:14" x14ac:dyDescent="0.3">
      <c r="A210" t="b">
        <f>AND(K210:N213)</f>
        <v>1</v>
      </c>
      <c r="B210" s="3" t="s">
        <v>67</v>
      </c>
      <c r="C210" s="1"/>
      <c r="D210" s="10" t="s">
        <v>50</v>
      </c>
      <c r="E210" s="10" t="s">
        <v>50</v>
      </c>
      <c r="F210" s="10" t="s">
        <v>51</v>
      </c>
      <c r="G210" s="11" t="str">
        <f t="array" ref="G210:J213">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3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3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3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3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3">
      <c r="C216" s="8" t="s">
        <v>50</v>
      </c>
      <c r="D216" s="8" t="s">
        <v>50</v>
      </c>
      <c r="E216" s="8" t="s">
        <v>51</v>
      </c>
    </row>
    <row r="217" spans="1:14" x14ac:dyDescent="0.3">
      <c r="B217" s="8"/>
      <c r="C217" s="8" t="s">
        <v>52</v>
      </c>
      <c r="D217" s="8" t="s">
        <v>56</v>
      </c>
      <c r="E217" s="8" t="s">
        <v>52</v>
      </c>
    </row>
    <row r="218" spans="1:14" x14ac:dyDescent="0.3">
      <c r="B218" s="8">
        <v>1</v>
      </c>
      <c r="C218" s="8">
        <v>1</v>
      </c>
      <c r="D218" s="8">
        <v>2</v>
      </c>
      <c r="E218" s="8">
        <v>3</v>
      </c>
    </row>
    <row r="219" spans="1:14" x14ac:dyDescent="0.3">
      <c r="B219" s="8">
        <v>2</v>
      </c>
      <c r="C219" s="8">
        <v>4</v>
      </c>
      <c r="D219" s="8">
        <v>5</v>
      </c>
      <c r="E219" s="8">
        <v>6</v>
      </c>
    </row>
    <row r="220" spans="1:14" x14ac:dyDescent="0.3">
      <c r="B220" s="8"/>
      <c r="C220" s="8"/>
      <c r="D220" s="8"/>
      <c r="E220" s="8"/>
    </row>
    <row r="221" spans="1:14" x14ac:dyDescent="0.3">
      <c r="A221" t="b">
        <f>AND(K221:N224)</f>
        <v>1</v>
      </c>
      <c r="B221" s="3" t="s">
        <v>71</v>
      </c>
      <c r="C221" s="1"/>
      <c r="D221" s="10" t="s">
        <v>50</v>
      </c>
      <c r="E221" s="10" t="s">
        <v>50</v>
      </c>
      <c r="F221" s="10" t="s">
        <v>51</v>
      </c>
      <c r="G221" s="11" t="str">
        <f t="array" ref="G221:J224">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3">
      <c r="B222" s="8"/>
      <c r="C222" s="10"/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3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3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3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3">
      <c r="B227" s="8"/>
      <c r="C227" s="8"/>
      <c r="D227" s="8" t="s">
        <v>50</v>
      </c>
      <c r="E227" s="8" t="s">
        <v>50</v>
      </c>
      <c r="F227" s="8" t="s">
        <v>51</v>
      </c>
    </row>
    <row r="228" spans="1:16" x14ac:dyDescent="0.3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3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3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3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3">
      <c r="B232" s="8"/>
      <c r="C232" s="8"/>
      <c r="D232" s="8"/>
      <c r="E232" s="8"/>
      <c r="F232" s="8"/>
    </row>
    <row r="233" spans="1:16" x14ac:dyDescent="0.3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3">
      <c r="B234" s="10"/>
      <c r="C234" s="10"/>
      <c r="D234" s="10" t="s">
        <v>50</v>
      </c>
      <c r="E234" s="10" t="s">
        <v>50</v>
      </c>
      <c r="F234" s="10" t="s">
        <v>51</v>
      </c>
      <c r="G234" s="11" t="str">
        <f t="array" ref="G234:K238">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3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3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3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3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3">
      <c r="B239" s="8"/>
      <c r="C239" s="8"/>
      <c r="D239" s="8"/>
      <c r="E239" s="8"/>
      <c r="F239" s="8"/>
    </row>
    <row r="242" spans="1:16" x14ac:dyDescent="0.3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3">
      <c r="B243" s="8"/>
      <c r="C243" s="8"/>
      <c r="D243" s="8" t="s">
        <v>50</v>
      </c>
      <c r="E243" s="8" t="s">
        <v>50</v>
      </c>
      <c r="F243" s="8" t="s">
        <v>51</v>
      </c>
    </row>
    <row r="244" spans="1:16" x14ac:dyDescent="0.3">
      <c r="B244" s="8"/>
      <c r="C244" s="8"/>
      <c r="D244" s="8" t="s">
        <v>52</v>
      </c>
      <c r="E244" s="8" t="s">
        <v>56</v>
      </c>
      <c r="F244" s="8" t="s">
        <v>52</v>
      </c>
    </row>
    <row r="245" spans="1:16" x14ac:dyDescent="0.3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3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3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3">
      <c r="B248" s="8"/>
      <c r="C248" s="8"/>
      <c r="D248" s="8"/>
      <c r="E248" s="8"/>
      <c r="F248" s="8"/>
    </row>
    <row r="249" spans="1:16" x14ac:dyDescent="0.3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3">
      <c r="B250" s="10"/>
      <c r="C250" s="10"/>
      <c r="D250" s="10" t="s">
        <v>50</v>
      </c>
      <c r="E250" s="10" t="s">
        <v>50</v>
      </c>
      <c r="F250" s="10" t="s">
        <v>51</v>
      </c>
      <c r="G250" s="11" t="str">
        <f t="array" ref="G250:K254">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3">
      <c r="B251" s="10"/>
      <c r="C251" s="10"/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3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3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3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3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3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3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3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3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3">
      <c r="B261" s="8"/>
      <c r="C261" s="8"/>
      <c r="D261" s="8"/>
      <c r="E261" s="8"/>
      <c r="F261" s="8"/>
    </row>
    <row r="262" spans="1:16" x14ac:dyDescent="0.3">
      <c r="A262" t="b">
        <f>AND(L263:P266)</f>
        <v>1</v>
      </c>
      <c r="B262" s="3" t="s">
        <v>74</v>
      </c>
    </row>
    <row r="263" spans="1:16" x14ac:dyDescent="0.3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>
        <f t="array" ref="G263:K266">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3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3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3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3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3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3">
      <c r="B269" s="8"/>
      <c r="C269" s="8" t="s">
        <v>52</v>
      </c>
      <c r="D269" s="8" t="s">
        <v>56</v>
      </c>
      <c r="E269" s="8" t="s">
        <v>52</v>
      </c>
    </row>
    <row r="270" spans="1:16" x14ac:dyDescent="0.3">
      <c r="B270" s="9">
        <v>36507</v>
      </c>
      <c r="C270" s="8">
        <v>1</v>
      </c>
      <c r="D270" s="8">
        <v>2</v>
      </c>
      <c r="E270" s="8">
        <v>3</v>
      </c>
    </row>
    <row r="271" spans="1:16" x14ac:dyDescent="0.3">
      <c r="B271" s="9">
        <v>36508</v>
      </c>
      <c r="C271" s="8">
        <v>4</v>
      </c>
      <c r="D271" s="8">
        <v>5</v>
      </c>
      <c r="E271" s="8">
        <v>6</v>
      </c>
    </row>
    <row r="273" spans="1:14" x14ac:dyDescent="0.3">
      <c r="A273" t="b">
        <f>AND(K273:N275)</f>
        <v>1</v>
      </c>
      <c r="B273" s="3" t="s">
        <v>75</v>
      </c>
      <c r="C273" s="10"/>
      <c r="D273" s="10" t="s">
        <v>52</v>
      </c>
      <c r="E273" s="10" t="s">
        <v>56</v>
      </c>
      <c r="F273" s="10" t="s">
        <v>52</v>
      </c>
      <c r="G273" s="11" t="str">
        <f t="array" ref="G273:J275">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3">
      <c r="C274" s="12">
        <v>36507</v>
      </c>
      <c r="D274" s="10">
        <v>1</v>
      </c>
      <c r="E274" s="10">
        <v>2</v>
      </c>
      <c r="F274" s="10">
        <v>3</v>
      </c>
      <c r="G274" s="13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3">
      <c r="C275" s="12">
        <v>36508</v>
      </c>
      <c r="D275" s="10">
        <v>4</v>
      </c>
      <c r="E275" s="10">
        <v>5</v>
      </c>
      <c r="F275" s="10">
        <v>6</v>
      </c>
      <c r="G275" s="13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3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3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3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3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3">
      <c r="F284" s="1">
        <v>30</v>
      </c>
      <c r="G284" s="2">
        <f>optional_args(1, 30)</f>
        <v>30</v>
      </c>
    </row>
    <row r="286" spans="1:14" x14ac:dyDescent="0.3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3">
      <c r="A288" t="b">
        <f>H288</f>
        <v>1</v>
      </c>
      <c r="B288" s="3" t="s">
        <v>93</v>
      </c>
      <c r="C288" s="3"/>
      <c r="F288" s="1" t="b">
        <v>1</v>
      </c>
      <c r="G288" s="2" t="b">
        <f>read_series_header_nameless_2index(C289:E291)</f>
        <v>1</v>
      </c>
      <c r="H288" t="b">
        <f>F288=G288</f>
        <v>1</v>
      </c>
    </row>
    <row r="289" spans="1:13" x14ac:dyDescent="0.3">
      <c r="E289" t="s">
        <v>3</v>
      </c>
    </row>
    <row r="290" spans="1:13" x14ac:dyDescent="0.3">
      <c r="C290" t="s">
        <v>50</v>
      </c>
      <c r="D290">
        <v>10</v>
      </c>
      <c r="E290">
        <v>1</v>
      </c>
    </row>
    <row r="291" spans="1:13" x14ac:dyDescent="0.3">
      <c r="C291" t="s">
        <v>50</v>
      </c>
      <c r="D291">
        <v>20</v>
      </c>
      <c r="E291">
        <v>2</v>
      </c>
    </row>
    <row r="293" spans="1:13" x14ac:dyDescent="0.3">
      <c r="A293" t="b">
        <f>H293</f>
        <v>1</v>
      </c>
      <c r="B293" s="3" t="s">
        <v>94</v>
      </c>
      <c r="C293" s="3"/>
      <c r="F293" s="1" t="b">
        <v>1</v>
      </c>
      <c r="G293" s="2" t="b">
        <f>read_series_header_named_2index(C294:E296)</f>
        <v>1</v>
      </c>
      <c r="H293" t="b">
        <f>F293=G293</f>
        <v>1</v>
      </c>
    </row>
    <row r="294" spans="1:13" x14ac:dyDescent="0.3">
      <c r="C294" t="s">
        <v>57</v>
      </c>
      <c r="D294" t="s">
        <v>95</v>
      </c>
      <c r="E294" t="s">
        <v>3</v>
      </c>
    </row>
    <row r="295" spans="1:13" x14ac:dyDescent="0.3">
      <c r="C295" t="s">
        <v>50</v>
      </c>
      <c r="D295">
        <v>10</v>
      </c>
      <c r="E295">
        <v>1</v>
      </c>
    </row>
    <row r="296" spans="1:13" x14ac:dyDescent="0.3">
      <c r="C296" t="s">
        <v>50</v>
      </c>
      <c r="D296">
        <v>20</v>
      </c>
      <c r="E296">
        <v>2</v>
      </c>
    </row>
    <row r="297" spans="1:13" x14ac:dyDescent="0.3">
      <c r="A297" t="b">
        <f>H297</f>
        <v>1</v>
      </c>
      <c r="B297" s="3" t="s">
        <v>96</v>
      </c>
      <c r="C297" s="3"/>
      <c r="F297" s="1" t="b">
        <v>1</v>
      </c>
      <c r="G297" s="2" t="b">
        <f>read_series_noheader_2index(C298:E299)</f>
        <v>1</v>
      </c>
      <c r="H297" t="b">
        <f>F297=G297</f>
        <v>1</v>
      </c>
    </row>
    <row r="298" spans="1:13" x14ac:dyDescent="0.3">
      <c r="C298" t="s">
        <v>50</v>
      </c>
      <c r="D298">
        <v>10</v>
      </c>
      <c r="E298">
        <v>1</v>
      </c>
    </row>
    <row r="299" spans="1:13" x14ac:dyDescent="0.3">
      <c r="C299" t="s">
        <v>50</v>
      </c>
      <c r="D299">
        <v>20</v>
      </c>
      <c r="E299">
        <v>2</v>
      </c>
    </row>
    <row r="301" spans="1:13" x14ac:dyDescent="0.3">
      <c r="A301" t="b">
        <f>AND(K301:M303)</f>
        <v>1</v>
      </c>
      <c r="B301" s="3" t="s">
        <v>97</v>
      </c>
      <c r="C301" s="8"/>
      <c r="D301" s="1"/>
      <c r="E301" s="1"/>
      <c r="F301" s="1" t="s">
        <v>3</v>
      </c>
      <c r="G301" s="11" t="str">
        <f t="array" ref="G301:I303">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3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3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3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>
        <f t="array" ref="G305:I307">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3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3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3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>
        <f t="array" ref="G309:I310">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3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3">
      <c r="A312" t="b">
        <f>IFERROR(AND(K312:K314),FALSE)</f>
        <v>1</v>
      </c>
      <c r="B312" s="3" t="s">
        <v>100</v>
      </c>
      <c r="C312" s="8"/>
      <c r="F312" s="1">
        <v>1</v>
      </c>
      <c r="G312" s="22">
        <f t="array" ref="G312:G314">write_series_nan()</f>
        <v>1</v>
      </c>
      <c r="H312" s="8"/>
      <c r="I312" s="8"/>
      <c r="J312" s="8"/>
      <c r="K312" t="b">
        <f>G312=F312</f>
        <v>1</v>
      </c>
    </row>
    <row r="313" spans="1:13" x14ac:dyDescent="0.3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3">
      <c r="F314" s="1">
        <v>3</v>
      </c>
      <c r="G314" s="22">
        <v>3</v>
      </c>
      <c r="K314" t="b">
        <f t="shared" si="59"/>
        <v>1</v>
      </c>
    </row>
    <row r="316" spans="1:13" x14ac:dyDescent="0.3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3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3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3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3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3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3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3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3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3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3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3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3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3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3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3">
      <c r="A346" t="b">
        <f>H346</f>
        <v>1</v>
      </c>
      <c r="B346" s="23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3">
      <c r="A348" t="b">
        <f>H348</f>
        <v>1</v>
      </c>
      <c r="B348" s="23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3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return_pd_nat()</f>
        <v/>
      </c>
      <c r="H350" s="24">
        <v>1</v>
      </c>
      <c r="I350" t="b">
        <f>AND(E350=G350,F350=H350)</f>
        <v>1</v>
      </c>
    </row>
    <row r="351" spans="1:9" x14ac:dyDescent="0.3">
      <c r="E351" s="1">
        <v>1</v>
      </c>
      <c r="F351" s="1"/>
      <c r="G351" s="24">
        <v>1</v>
      </c>
      <c r="H351" s="24" t="str">
        <v/>
      </c>
    </row>
    <row r="353" spans="1:8" x14ac:dyDescent="0.3">
      <c r="A353" t="b">
        <f>H353</f>
        <v>1</v>
      </c>
      <c r="B353" s="3" t="s">
        <v>139</v>
      </c>
      <c r="E353">
        <v>1</v>
      </c>
      <c r="F353" s="1" t="b">
        <v>1</v>
      </c>
      <c r="G353" s="2" t="b" cm="1">
        <f t="array" ref="G353">cell_caller()</f>
        <v>1</v>
      </c>
      <c r="H353" t="b">
        <f>F353=G353</f>
        <v>1</v>
      </c>
    </row>
    <row r="355" spans="1:8" x14ac:dyDescent="0.3">
      <c r="A355" t="b">
        <f>H355</f>
        <v>1</v>
      </c>
      <c r="B355" s="3" t="s">
        <v>138</v>
      </c>
      <c r="E355" t="s">
        <v>140</v>
      </c>
      <c r="F355" s="1" t="b">
        <v>1</v>
      </c>
      <c r="G355" s="2" t="b" cm="1">
        <f t="array" ref="G355">cell_caller_multiple_args(E355)</f>
        <v>1</v>
      </c>
      <c r="H355" t="b">
        <f>F355=G355</f>
        <v>1</v>
      </c>
    </row>
  </sheetData>
  <conditionalFormatting sqref="A3:A97 A172:A285 A99:A170 A287 A291:A292 A300 A304 A308 A311 A314:A315 A345 A349 A351:A1048576">
    <cfRule type="containsText" dxfId="14" priority="17" operator="containsText" text="FALSE">
      <formula>NOT(ISERROR(SEARCH("FALSE",A3)))</formula>
    </cfRule>
  </conditionalFormatting>
  <conditionalFormatting sqref="B3">
    <cfRule type="cellIs" dxfId="13" priority="16" operator="greaterThan">
      <formula>0</formula>
    </cfRule>
  </conditionalFormatting>
  <conditionalFormatting sqref="A98">
    <cfRule type="containsText" dxfId="12" priority="15" operator="containsText" text="FALSE">
      <formula>NOT(ISERROR(SEARCH("FALSE",A98)))</formula>
    </cfRule>
  </conditionalFormatting>
  <conditionalFormatting sqref="A286">
    <cfRule type="containsText" dxfId="11" priority="14" operator="containsText" text="FALSE">
      <formula>NOT(ISERROR(SEARCH("FALSE",A286)))</formula>
    </cfRule>
  </conditionalFormatting>
  <conditionalFormatting sqref="A288:A290">
    <cfRule type="containsText" dxfId="10" priority="12" operator="containsText" text="FALSE">
      <formula>NOT(ISERROR(SEARCH("FALSE",A288)))</formula>
    </cfRule>
  </conditionalFormatting>
  <conditionalFormatting sqref="A296">
    <cfRule type="containsText" dxfId="9" priority="11" operator="containsText" text="FALSE">
      <formula>NOT(ISERROR(SEARCH("FALSE",A296)))</formula>
    </cfRule>
  </conditionalFormatting>
  <conditionalFormatting sqref="A293:A295">
    <cfRule type="containsText" dxfId="8" priority="10" operator="containsText" text="FALSE">
      <formula>NOT(ISERROR(SEARCH("FALSE",A293)))</formula>
    </cfRule>
  </conditionalFormatting>
  <conditionalFormatting sqref="A297:A299">
    <cfRule type="containsText" dxfId="7" priority="9" operator="containsText" text="FALSE">
      <formula>NOT(ISERROR(SEARCH("FALSE",A297)))</formula>
    </cfRule>
  </conditionalFormatting>
  <conditionalFormatting sqref="A301:A303">
    <cfRule type="containsText" dxfId="6" priority="8" operator="containsText" text="FALSE">
      <formula>NOT(ISERROR(SEARCH("FALSE",A301)))</formula>
    </cfRule>
  </conditionalFormatting>
  <conditionalFormatting sqref="A305:A307">
    <cfRule type="containsText" dxfId="5" priority="7" operator="containsText" text="FALSE">
      <formula>NOT(ISERROR(SEARCH("FALSE",A305)))</formula>
    </cfRule>
  </conditionalFormatting>
  <conditionalFormatting sqref="A309:A310">
    <cfRule type="containsText" dxfId="4" priority="6" operator="containsText" text="FALSE">
      <formula>NOT(ISERROR(SEARCH("FALSE",A309)))</formula>
    </cfRule>
  </conditionalFormatting>
  <conditionalFormatting sqref="A312:A313">
    <cfRule type="containsText" dxfId="3" priority="5" operator="containsText" text="FALSE">
      <formula>NOT(ISERROR(SEARCH("FALSE",A312)))</formula>
    </cfRule>
  </conditionalFormatting>
  <conditionalFormatting sqref="A316:A344">
    <cfRule type="containsText" dxfId="2" priority="4" operator="containsText" text="FALSE">
      <formula>NOT(ISERROR(SEARCH("FALSE",A316)))</formula>
    </cfRule>
  </conditionalFormatting>
  <conditionalFormatting sqref="A346:A348">
    <cfRule type="containsText" dxfId="1" priority="3" operator="containsText" text="FALSE">
      <formula>NOT(ISERROR(SEARCH("FALSE",A346)))</formula>
    </cfRule>
  </conditionalFormatting>
  <conditionalFormatting sqref="A350">
    <cfRule type="containsText" dxfId="0" priority="1" operator="containsText" text="FALSE">
      <formula>NOT(ISERROR(SEARCH("FALSE",A350)))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6" x14ac:dyDescent="0.3"/>
  <sheetData>
    <row r="1" spans="1:1" x14ac:dyDescent="0.3">
      <c r="A1">
        <v>5</v>
      </c>
    </row>
    <row r="3" spans="1:1" x14ac:dyDescent="0.3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175260</xdr:colOff>
                    <xdr:row>1</xdr:row>
                    <xdr:rowOff>190500</xdr:rowOff>
                  </from>
                  <to>
                    <xdr:col>4</xdr:col>
                    <xdr:colOff>243840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Philip Du Plessis</cp:lastModifiedBy>
  <dcterms:created xsi:type="dcterms:W3CDTF">2015-01-25T11:31:25Z</dcterms:created>
  <dcterms:modified xsi:type="dcterms:W3CDTF">2023-06-19T12:58:44Z</dcterms:modified>
</cp:coreProperties>
</file>