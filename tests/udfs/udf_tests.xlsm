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19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tests\udfs\"/>
    </mc:Choice>
  </mc:AlternateContent>
  <xr:revisionPtr revIDLastSave="0" documentId="13_ncr:1_{F751FF06-440D-4981-85D6-FD73EA3709CD}" xr6:coauthVersionLast="47" xr6:coauthVersionMax="47" xr10:uidLastSave="{00000000-0000-0000-0000-000000000000}"/>
  <bookViews>
    <workbookView xWindow="-110" yWindow="-110" windowWidth="19420" windowHeight="11020" tabRatio="500" xr2:uid="{00000000-000D-0000-FFFF-FFFF00000000}"/>
  </bookViews>
  <sheets>
    <sheet name="Sheet1" sheetId="1" r:id="rId1"/>
    <sheet name="Sub" sheetId="2" r:id="rId2"/>
  </sheets>
  <functionGroups builtInGroupCount="19">
    <functionGroup name="xlwings"/>
    <functionGroup name="custom category"/>
  </functionGroups>
  <calcPr calcId="191029"/>
  <extLst>
    <ext xmlns:x14="http://schemas.microsoft.com/office/spreadsheetml/2009/9/main" uri="{8193D73E-4604-4355-AFF4-8A2333D13BE4}">
      <x14:definedNames>
        <x14:definedName name="cell_caller_multiple_args">
          <x14:argumentDescriptions count="1">
            <x14:argumentDescription index="0">Positional argument 1</x14:argumentDescription>
          </x14:argumentDescriptions>
        </x14:definedName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ARGS_ARG_DECORA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ariable_args">
          <x14:argumentDescriptions count="2">
            <x14:argumentDescription index="0">Positional argument 2</x14:argumentDescription>
            <x14:argumentDescription index="1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7" i="1" l="1" a="1"/>
  <c r="G332" i="1"/>
  <c r="G324" i="1"/>
  <c r="G322" i="1"/>
  <c r="G340" i="1"/>
  <c r="G26" i="1"/>
  <c r="G67" i="1"/>
  <c r="G86" i="1"/>
  <c r="G44" i="1"/>
  <c r="G215" i="1"/>
  <c r="G221" i="1" a="1"/>
  <c r="G96" i="1"/>
  <c r="G312" i="1" a="1"/>
  <c r="G283" i="1"/>
  <c r="G184" i="1"/>
  <c r="G256" i="1"/>
  <c r="G277" i="1"/>
  <c r="G14" i="1"/>
  <c r="G24" i="1"/>
  <c r="G154" i="1" a="1"/>
  <c r="G144" i="1"/>
  <c r="G64" i="1"/>
  <c r="G301" i="1" a="1"/>
  <c r="G110" i="1"/>
  <c r="G305" i="1" a="1"/>
  <c r="G118" i="1" a="1"/>
  <c r="G136" i="1"/>
  <c r="G204" i="1"/>
  <c r="G350" i="1" a="1"/>
  <c r="G344" i="1"/>
  <c r="G330" i="1"/>
  <c r="G342" i="1"/>
  <c r="G346" i="1"/>
  <c r="G30" i="1"/>
  <c r="G297" i="1"/>
  <c r="G199" i="1" a="1"/>
  <c r="G263" i="1" a="1"/>
  <c r="G9" i="1"/>
  <c r="G42" i="1"/>
  <c r="G84" i="1"/>
  <c r="G128" i="1" a="1"/>
  <c r="G7" i="1"/>
  <c r="G309" i="1" a="1"/>
  <c r="G92" i="1"/>
  <c r="G273" i="1" a="1"/>
  <c r="G16" i="1"/>
  <c r="G288" i="1"/>
  <c r="G175" i="1"/>
  <c r="G180" i="1" a="1"/>
  <c r="G355" i="1" a="1"/>
  <c r="G336" i="1"/>
  <c r="G316" i="1"/>
  <c r="G293" i="1"/>
  <c r="G28" i="1" a="1"/>
  <c r="G75" i="1"/>
  <c r="G150" i="1"/>
  <c r="G164" i="1"/>
  <c r="G20" i="1"/>
  <c r="G250" i="1" a="1"/>
  <c r="G82" i="1"/>
  <c r="G210" i="1" a="1"/>
  <c r="G268" i="1"/>
  <c r="G55" i="1"/>
  <c r="G36" i="1"/>
  <c r="G242" i="1"/>
  <c r="G6" i="1"/>
  <c r="G318" i="1"/>
  <c r="G320" i="1"/>
  <c r="G158" i="1"/>
  <c r="G89" i="1" a="1"/>
  <c r="G226" i="1"/>
  <c r="G33" i="1" a="1"/>
  <c r="G94" i="1"/>
  <c r="G114" i="1"/>
  <c r="G11" i="1"/>
  <c r="G61" i="1"/>
  <c r="G49" i="1" a="1"/>
  <c r="G193" i="1" a="1"/>
  <c r="G18" i="1"/>
  <c r="G98" i="1"/>
  <c r="G124" i="1" a="1"/>
  <c r="G353" i="1" a="1"/>
  <c r="G348" i="1"/>
  <c r="G121" i="1" a="1"/>
  <c r="G100" i="1"/>
  <c r="G103" i="1"/>
  <c r="G284" i="1"/>
  <c r="G286" i="1"/>
  <c r="G77" i="1"/>
  <c r="G334" i="1"/>
  <c r="G234" i="1" a="1"/>
  <c r="G279" i="1"/>
  <c r="G328" i="1"/>
  <c r="G171" i="1" a="1"/>
  <c r="G281" i="1"/>
  <c r="G161" i="1" a="1"/>
  <c r="G46" i="1"/>
  <c r="G147" i="1" a="1"/>
  <c r="G52" i="1"/>
  <c r="G338" i="1"/>
  <c r="G189" i="1" a="1"/>
  <c r="G39" i="1" a="1"/>
  <c r="G12" i="1"/>
  <c r="G58" i="1"/>
  <c r="G326" i="1"/>
  <c r="G106" i="1"/>
  <c r="G73" i="1"/>
  <c r="G70" i="1" a="1"/>
  <c r="G132" i="1" a="1"/>
  <c r="G140" i="1" a="1"/>
  <c r="G22" i="1"/>
  <c r="G79" i="1"/>
  <c r="H79" i="1" l="1"/>
  <c r="A79" i="1" s="1"/>
  <c r="H22" i="1"/>
  <c r="A22" i="1" s="1"/>
  <c r="H73" i="1"/>
  <c r="A73" i="1" s="1"/>
  <c r="H106" i="1"/>
  <c r="A106" i="1" s="1"/>
  <c r="H326" i="1"/>
  <c r="A326" i="1" s="1"/>
  <c r="H58" i="1"/>
  <c r="A58" i="1" s="1"/>
  <c r="H12" i="1"/>
  <c r="H338" i="1"/>
  <c r="A338" i="1" s="1"/>
  <c r="H52" i="1"/>
  <c r="A52" i="1" s="1"/>
  <c r="H46" i="1"/>
  <c r="A46" i="1" s="1"/>
  <c r="H141" i="1"/>
  <c r="J141" i="1" s="1"/>
  <c r="G142" i="1"/>
  <c r="I142" i="1" s="1"/>
  <c r="H142" i="1"/>
  <c r="J142" i="1" s="1"/>
  <c r="H140" i="1"/>
  <c r="J140" i="1" s="1"/>
  <c r="G141" i="1"/>
  <c r="I141" i="1" s="1"/>
  <c r="G140" i="1"/>
  <c r="I140" i="1" s="1"/>
  <c r="H133" i="1"/>
  <c r="J133" i="1" s="1"/>
  <c r="G132" i="1"/>
  <c r="I132" i="1" s="1"/>
  <c r="H132" i="1"/>
  <c r="J132" i="1" s="1"/>
  <c r="G133" i="1"/>
  <c r="I133" i="1" s="1"/>
  <c r="H134" i="1"/>
  <c r="J134" i="1" s="1"/>
  <c r="G134" i="1"/>
  <c r="I134" i="1" s="1"/>
  <c r="H71" i="1"/>
  <c r="J71" i="1" s="1"/>
  <c r="H70" i="1"/>
  <c r="J70" i="1" s="1"/>
  <c r="G71" i="1"/>
  <c r="I71" i="1" s="1"/>
  <c r="G70" i="1"/>
  <c r="I70" i="1" s="1"/>
  <c r="G40" i="1"/>
  <c r="I40" i="1" s="1"/>
  <c r="G39" i="1"/>
  <c r="I39" i="1" s="1"/>
  <c r="A39" i="1" s="1"/>
  <c r="H39" i="1"/>
  <c r="J39" i="1" s="1"/>
  <c r="H40" i="1"/>
  <c r="J40" i="1" s="1"/>
  <c r="I190" i="1"/>
  <c r="M190" i="1" s="1"/>
  <c r="J189" i="1"/>
  <c r="N189" i="1" s="1"/>
  <c r="J191" i="1"/>
  <c r="N191" i="1" s="1"/>
  <c r="G191" i="1"/>
  <c r="K191" i="1" s="1"/>
  <c r="G190" i="1"/>
  <c r="K190" i="1" s="1"/>
  <c r="H191" i="1"/>
  <c r="L191" i="1" s="1"/>
  <c r="I189" i="1"/>
  <c r="M189" i="1" s="1"/>
  <c r="H190" i="1"/>
  <c r="L190" i="1" s="1"/>
  <c r="I191" i="1"/>
  <c r="M191" i="1" s="1"/>
  <c r="H189" i="1"/>
  <c r="L189" i="1" s="1"/>
  <c r="J190" i="1"/>
  <c r="N190" i="1" s="1"/>
  <c r="G189" i="1"/>
  <c r="K189" i="1" s="1"/>
  <c r="H148" i="1"/>
  <c r="J148" i="1" s="1"/>
  <c r="G147" i="1"/>
  <c r="I147" i="1" s="1"/>
  <c r="A147" i="1" s="1"/>
  <c r="G148" i="1"/>
  <c r="I148" i="1" s="1"/>
  <c r="H147" i="1"/>
  <c r="J147" i="1" s="1"/>
  <c r="G161" i="1"/>
  <c r="J161" i="1" s="1"/>
  <c r="H162" i="1"/>
  <c r="K162" i="1" s="1"/>
  <c r="I161" i="1"/>
  <c r="L161" i="1" s="1"/>
  <c r="G162" i="1"/>
  <c r="J162" i="1" s="1"/>
  <c r="I162" i="1"/>
  <c r="L162" i="1" s="1"/>
  <c r="H161" i="1"/>
  <c r="K161" i="1" s="1"/>
  <c r="H281" i="1"/>
  <c r="A281" i="1" s="1"/>
  <c r="I171" i="1"/>
  <c r="N171" i="1" s="1"/>
  <c r="G173" i="1"/>
  <c r="L173" i="1" s="1"/>
  <c r="H173" i="1"/>
  <c r="M173" i="1" s="1"/>
  <c r="K172" i="1"/>
  <c r="P172" i="1" s="1"/>
  <c r="J172" i="1"/>
  <c r="O172" i="1" s="1"/>
  <c r="H171" i="1"/>
  <c r="M171" i="1" s="1"/>
  <c r="I173" i="1"/>
  <c r="N173" i="1" s="1"/>
  <c r="I172" i="1"/>
  <c r="N172" i="1" s="1"/>
  <c r="H172" i="1"/>
  <c r="M172" i="1" s="1"/>
  <c r="G171" i="1"/>
  <c r="L171" i="1" s="1"/>
  <c r="K173" i="1"/>
  <c r="P173" i="1" s="1"/>
  <c r="J173" i="1"/>
  <c r="O173" i="1" s="1"/>
  <c r="J171" i="1"/>
  <c r="O171" i="1" s="1"/>
  <c r="K171" i="1"/>
  <c r="P171" i="1" s="1"/>
  <c r="G172" i="1"/>
  <c r="L172" i="1" s="1"/>
  <c r="H328" i="1"/>
  <c r="A328" i="1" s="1"/>
  <c r="H279" i="1"/>
  <c r="A279" i="1" s="1"/>
  <c r="I235" i="1"/>
  <c r="N235" i="1" s="1"/>
  <c r="J235" i="1"/>
  <c r="O235" i="1" s="1"/>
  <c r="I234" i="1"/>
  <c r="N234" i="1" s="1"/>
  <c r="G238" i="1"/>
  <c r="L238" i="1" s="1"/>
  <c r="I238" i="1"/>
  <c r="N238" i="1" s="1"/>
  <c r="J236" i="1"/>
  <c r="O236" i="1" s="1"/>
  <c r="I237" i="1"/>
  <c r="N237" i="1" s="1"/>
  <c r="H234" i="1"/>
  <c r="M234" i="1" s="1"/>
  <c r="G236" i="1"/>
  <c r="L236" i="1" s="1"/>
  <c r="K234" i="1"/>
  <c r="P234" i="1" s="1"/>
  <c r="H235" i="1"/>
  <c r="M235" i="1" s="1"/>
  <c r="J234" i="1"/>
  <c r="O234" i="1" s="1"/>
  <c r="K235" i="1"/>
  <c r="P235" i="1" s="1"/>
  <c r="J237" i="1"/>
  <c r="O237" i="1" s="1"/>
  <c r="J238" i="1"/>
  <c r="O238" i="1" s="1"/>
  <c r="K237" i="1"/>
  <c r="P237" i="1" s="1"/>
  <c r="H237" i="1"/>
  <c r="M237" i="1" s="1"/>
  <c r="G234" i="1"/>
  <c r="L234" i="1" s="1"/>
  <c r="A233" i="1" s="1"/>
  <c r="I236" i="1"/>
  <c r="N236" i="1" s="1"/>
  <c r="H238" i="1"/>
  <c r="M238" i="1" s="1"/>
  <c r="K236" i="1"/>
  <c r="P236" i="1" s="1"/>
  <c r="K238" i="1"/>
  <c r="P238" i="1" s="1"/>
  <c r="G237" i="1"/>
  <c r="L237" i="1" s="1"/>
  <c r="G235" i="1"/>
  <c r="L235" i="1" s="1"/>
  <c r="H236" i="1"/>
  <c r="M236" i="1" s="1"/>
  <c r="H334" i="1"/>
  <c r="A334" i="1" s="1"/>
  <c r="H77" i="1"/>
  <c r="A77" i="1" s="1"/>
  <c r="H286" i="1"/>
  <c r="A286" i="1" s="1"/>
  <c r="H103" i="1"/>
  <c r="A103" i="1" s="1"/>
  <c r="H100" i="1"/>
  <c r="A100" i="1" s="1"/>
  <c r="H122" i="1"/>
  <c r="J122" i="1" s="1"/>
  <c r="G122" i="1"/>
  <c r="I122" i="1" s="1"/>
  <c r="G121" i="1"/>
  <c r="I121" i="1" s="1"/>
  <c r="H121" i="1"/>
  <c r="J121" i="1" s="1"/>
  <c r="H348" i="1"/>
  <c r="A348" i="1" s="1"/>
  <c r="G353" i="1"/>
  <c r="H353" i="1" s="1"/>
  <c r="A353" i="1" s="1"/>
  <c r="G126" i="1"/>
  <c r="H126" i="1" s="1"/>
  <c r="G125" i="1"/>
  <c r="H125" i="1" s="1"/>
  <c r="G124" i="1"/>
  <c r="H124" i="1" s="1"/>
  <c r="H98" i="1"/>
  <c r="A98" i="1" s="1"/>
  <c r="H18" i="1"/>
  <c r="A18" i="1" s="1"/>
  <c r="G193" i="1"/>
  <c r="H193" i="1" s="1"/>
  <c r="A193" i="1" s="1"/>
  <c r="H50" i="1"/>
  <c r="J50" i="1" s="1"/>
  <c r="G49" i="1"/>
  <c r="I49" i="1" s="1"/>
  <c r="G50" i="1"/>
  <c r="I50" i="1" s="1"/>
  <c r="H49" i="1"/>
  <c r="J49" i="1" s="1"/>
  <c r="H61" i="1"/>
  <c r="A61" i="1" s="1"/>
  <c r="H11" i="1"/>
  <c r="A11" i="1" s="1"/>
  <c r="H114" i="1"/>
  <c r="A114" i="1" s="1"/>
  <c r="H94" i="1"/>
  <c r="A94" i="1" s="1"/>
  <c r="G34" i="1"/>
  <c r="H34" i="1" s="1"/>
  <c r="G33" i="1"/>
  <c r="H33" i="1" s="1"/>
  <c r="A33" i="1" s="1"/>
  <c r="H226" i="1"/>
  <c r="A226" i="1" s="1"/>
  <c r="G90" i="1"/>
  <c r="I90" i="1" s="1"/>
  <c r="G89" i="1"/>
  <c r="I89" i="1" s="1"/>
  <c r="H89" i="1"/>
  <c r="J89" i="1" s="1"/>
  <c r="H90" i="1"/>
  <c r="J90" i="1" s="1"/>
  <c r="H158" i="1"/>
  <c r="A158" i="1" s="1"/>
  <c r="H320" i="1"/>
  <c r="A320" i="1" s="1"/>
  <c r="H318" i="1"/>
  <c r="A318" i="1" s="1"/>
  <c r="H6" i="1"/>
  <c r="H242" i="1"/>
  <c r="A242" i="1" s="1"/>
  <c r="H36" i="1"/>
  <c r="A36" i="1" s="1"/>
  <c r="H55" i="1"/>
  <c r="A55" i="1" s="1"/>
  <c r="H268" i="1"/>
  <c r="A268" i="1" s="1"/>
  <c r="J211" i="1"/>
  <c r="N211" i="1" s="1"/>
  <c r="I212" i="1"/>
  <c r="M212" i="1" s="1"/>
  <c r="G213" i="1"/>
  <c r="K213" i="1" s="1"/>
  <c r="H212" i="1"/>
  <c r="L212" i="1" s="1"/>
  <c r="I211" i="1"/>
  <c r="M211" i="1" s="1"/>
  <c r="H211" i="1"/>
  <c r="L211" i="1" s="1"/>
  <c r="G211" i="1"/>
  <c r="K211" i="1" s="1"/>
  <c r="I213" i="1"/>
  <c r="M213" i="1" s="1"/>
  <c r="H213" i="1"/>
  <c r="L213" i="1" s="1"/>
  <c r="I210" i="1"/>
  <c r="M210" i="1" s="1"/>
  <c r="J212" i="1"/>
  <c r="N212" i="1" s="1"/>
  <c r="H210" i="1"/>
  <c r="L210" i="1" s="1"/>
  <c r="G212" i="1"/>
  <c r="K212" i="1" s="1"/>
  <c r="J210" i="1"/>
  <c r="N210" i="1" s="1"/>
  <c r="G210" i="1"/>
  <c r="K210" i="1" s="1"/>
  <c r="J213" i="1"/>
  <c r="N213" i="1" s="1"/>
  <c r="H82" i="1"/>
  <c r="A82" i="1" s="1"/>
  <c r="G251" i="1"/>
  <c r="L251" i="1" s="1"/>
  <c r="J252" i="1"/>
  <c r="O252" i="1" s="1"/>
  <c r="H254" i="1"/>
  <c r="M254" i="1" s="1"/>
  <c r="H250" i="1"/>
  <c r="M250" i="1" s="1"/>
  <c r="I253" i="1"/>
  <c r="N253" i="1" s="1"/>
  <c r="H253" i="1"/>
  <c r="M253" i="1" s="1"/>
  <c r="I254" i="1"/>
  <c r="N254" i="1" s="1"/>
  <c r="J254" i="1"/>
  <c r="O254" i="1" s="1"/>
  <c r="G252" i="1"/>
  <c r="L252" i="1" s="1"/>
  <c r="I252" i="1"/>
  <c r="N252" i="1" s="1"/>
  <c r="I251" i="1"/>
  <c r="N251" i="1" s="1"/>
  <c r="K254" i="1"/>
  <c r="P254" i="1" s="1"/>
  <c r="K253" i="1"/>
  <c r="P253" i="1" s="1"/>
  <c r="K250" i="1"/>
  <c r="P250" i="1" s="1"/>
  <c r="G250" i="1"/>
  <c r="L250" i="1" s="1"/>
  <c r="I250" i="1"/>
  <c r="N250" i="1" s="1"/>
  <c r="J250" i="1"/>
  <c r="O250" i="1" s="1"/>
  <c r="J253" i="1"/>
  <c r="O253" i="1" s="1"/>
  <c r="K252" i="1"/>
  <c r="P252" i="1" s="1"/>
  <c r="J251" i="1"/>
  <c r="O251" i="1" s="1"/>
  <c r="K251" i="1"/>
  <c r="P251" i="1" s="1"/>
  <c r="G253" i="1"/>
  <c r="L253" i="1" s="1"/>
  <c r="H252" i="1"/>
  <c r="M252" i="1" s="1"/>
  <c r="G254" i="1"/>
  <c r="L254" i="1" s="1"/>
  <c r="H251" i="1"/>
  <c r="M251" i="1" s="1"/>
  <c r="H20" i="1"/>
  <c r="A20" i="1" s="1"/>
  <c r="H164" i="1"/>
  <c r="A164" i="1" s="1"/>
  <c r="H150" i="1"/>
  <c r="A150" i="1" s="1"/>
  <c r="H75" i="1"/>
  <c r="A75" i="1" s="1"/>
  <c r="G28" i="1"/>
  <c r="I28" i="1" s="1"/>
  <c r="A28" i="1" s="1"/>
  <c r="H28" i="1"/>
  <c r="J28" i="1" s="1"/>
  <c r="H293" i="1"/>
  <c r="A293" i="1" s="1"/>
  <c r="H316" i="1"/>
  <c r="A316" i="1" s="1"/>
  <c r="H336" i="1"/>
  <c r="A336" i="1" s="1"/>
  <c r="G355" i="1"/>
  <c r="H355" i="1" s="1"/>
  <c r="A355" i="1" s="1"/>
  <c r="I181" i="1"/>
  <c r="M181" i="1" s="1"/>
  <c r="G181" i="1"/>
  <c r="K181" i="1" s="1"/>
  <c r="G180" i="1"/>
  <c r="K180" i="1" s="1"/>
  <c r="I182" i="1"/>
  <c r="M182" i="1" s="1"/>
  <c r="H180" i="1"/>
  <c r="L180" i="1" s="1"/>
  <c r="J181" i="1"/>
  <c r="N181" i="1" s="1"/>
  <c r="G182" i="1"/>
  <c r="K182" i="1" s="1"/>
  <c r="I180" i="1"/>
  <c r="M180" i="1" s="1"/>
  <c r="J180" i="1"/>
  <c r="N180" i="1" s="1"/>
  <c r="H182" i="1"/>
  <c r="L182" i="1" s="1"/>
  <c r="J182" i="1"/>
  <c r="N182" i="1" s="1"/>
  <c r="H181" i="1"/>
  <c r="L181" i="1" s="1"/>
  <c r="H175" i="1"/>
  <c r="A175" i="1" s="1"/>
  <c r="H288" i="1"/>
  <c r="A288" i="1" s="1"/>
  <c r="H16" i="1"/>
  <c r="A16" i="1" s="1"/>
  <c r="J274" i="1"/>
  <c r="N274" i="1" s="1"/>
  <c r="I274" i="1"/>
  <c r="M274" i="1" s="1"/>
  <c r="H274" i="1"/>
  <c r="L274" i="1" s="1"/>
  <c r="H273" i="1"/>
  <c r="L273" i="1" s="1"/>
  <c r="G273" i="1"/>
  <c r="K273" i="1" s="1"/>
  <c r="J273" i="1"/>
  <c r="N273" i="1" s="1"/>
  <c r="I273" i="1"/>
  <c r="M273" i="1" s="1"/>
  <c r="H275" i="1"/>
  <c r="L275" i="1" s="1"/>
  <c r="G275" i="1"/>
  <c r="K275" i="1" s="1"/>
  <c r="I275" i="1"/>
  <c r="M275" i="1" s="1"/>
  <c r="G274" i="1"/>
  <c r="K274" i="1" s="1"/>
  <c r="J275" i="1"/>
  <c r="N275" i="1" s="1"/>
  <c r="H92" i="1"/>
  <c r="A92" i="1" s="1"/>
  <c r="I310" i="1"/>
  <c r="M310" i="1" s="1"/>
  <c r="H309" i="1"/>
  <c r="L309" i="1" s="1"/>
  <c r="I309" i="1"/>
  <c r="M309" i="1" s="1"/>
  <c r="G309" i="1"/>
  <c r="K309" i="1" s="1"/>
  <c r="G310" i="1"/>
  <c r="K310" i="1" s="1"/>
  <c r="H310" i="1"/>
  <c r="L310" i="1" s="1"/>
  <c r="H7" i="1"/>
  <c r="H128" i="1"/>
  <c r="J128" i="1" s="1"/>
  <c r="G130" i="1"/>
  <c r="I130" i="1" s="1"/>
  <c r="H130" i="1"/>
  <c r="J130" i="1" s="1"/>
  <c r="H129" i="1"/>
  <c r="J129" i="1" s="1"/>
  <c r="G129" i="1"/>
  <c r="I129" i="1" s="1"/>
  <c r="G128" i="1"/>
  <c r="I128" i="1" s="1"/>
  <c r="A128" i="1" s="1"/>
  <c r="H84" i="1"/>
  <c r="A84" i="1" s="1"/>
  <c r="H42" i="1"/>
  <c r="A42" i="1" s="1"/>
  <c r="H9" i="1"/>
  <c r="A9" i="1" s="1"/>
  <c r="H263" i="1"/>
  <c r="M263" i="1" s="1"/>
  <c r="K264" i="1"/>
  <c r="P264" i="1" s="1"/>
  <c r="I266" i="1"/>
  <c r="N266" i="1" s="1"/>
  <c r="J264" i="1"/>
  <c r="O264" i="1" s="1"/>
  <c r="G263" i="1"/>
  <c r="L263" i="1" s="1"/>
  <c r="J263" i="1"/>
  <c r="O263" i="1" s="1"/>
  <c r="K266" i="1"/>
  <c r="P266" i="1" s="1"/>
  <c r="K263" i="1"/>
  <c r="P263" i="1" s="1"/>
  <c r="G266" i="1"/>
  <c r="L266" i="1" s="1"/>
  <c r="J266" i="1"/>
  <c r="O266" i="1" s="1"/>
  <c r="J265" i="1"/>
  <c r="O265" i="1" s="1"/>
  <c r="H265" i="1"/>
  <c r="M265" i="1" s="1"/>
  <c r="H266" i="1"/>
  <c r="M266" i="1" s="1"/>
  <c r="G265" i="1"/>
  <c r="L265" i="1" s="1"/>
  <c r="I263" i="1"/>
  <c r="N263" i="1" s="1"/>
  <c r="I265" i="1"/>
  <c r="N265" i="1" s="1"/>
  <c r="K265" i="1"/>
  <c r="P265" i="1" s="1"/>
  <c r="I264" i="1"/>
  <c r="N264" i="1" s="1"/>
  <c r="G264" i="1"/>
  <c r="L264" i="1" s="1"/>
  <c r="H264" i="1"/>
  <c r="M264" i="1" s="1"/>
  <c r="H199" i="1"/>
  <c r="K199" i="1" s="1"/>
  <c r="G202" i="1"/>
  <c r="J202" i="1" s="1"/>
  <c r="H200" i="1"/>
  <c r="K200" i="1" s="1"/>
  <c r="G200" i="1"/>
  <c r="J200" i="1" s="1"/>
  <c r="G201" i="1"/>
  <c r="J201" i="1" s="1"/>
  <c r="I199" i="1"/>
  <c r="L199" i="1" s="1"/>
  <c r="G199" i="1"/>
  <c r="J199" i="1" s="1"/>
  <c r="H202" i="1"/>
  <c r="K202" i="1" s="1"/>
  <c r="I200" i="1"/>
  <c r="L200" i="1" s="1"/>
  <c r="I201" i="1"/>
  <c r="L201" i="1" s="1"/>
  <c r="I202" i="1"/>
  <c r="L202" i="1" s="1"/>
  <c r="H201" i="1"/>
  <c r="K201" i="1" s="1"/>
  <c r="H297" i="1"/>
  <c r="A297" i="1" s="1"/>
  <c r="H30" i="1"/>
  <c r="A30" i="1" s="1"/>
  <c r="H346" i="1"/>
  <c r="A346" i="1" s="1"/>
  <c r="H342" i="1"/>
  <c r="A342" i="1" s="1"/>
  <c r="H330" i="1"/>
  <c r="A330" i="1" s="1"/>
  <c r="H344" i="1"/>
  <c r="A344" i="1" s="1"/>
  <c r="G350" i="1"/>
  <c r="I350" i="1" s="1"/>
  <c r="A350" i="1" s="1"/>
  <c r="H204" i="1"/>
  <c r="A204" i="1" s="1"/>
  <c r="H136" i="1"/>
  <c r="A136" i="1" s="1"/>
  <c r="G118" i="1"/>
  <c r="H118" i="1" s="1"/>
  <c r="G119" i="1"/>
  <c r="H119" i="1" s="1"/>
  <c r="G307" i="1"/>
  <c r="K307" i="1" s="1"/>
  <c r="G306" i="1"/>
  <c r="K306" i="1" s="1"/>
  <c r="G305" i="1"/>
  <c r="K305" i="1" s="1"/>
  <c r="I305" i="1"/>
  <c r="M305" i="1" s="1"/>
  <c r="I306" i="1"/>
  <c r="M306" i="1" s="1"/>
  <c r="I307" i="1"/>
  <c r="M307" i="1" s="1"/>
  <c r="H305" i="1"/>
  <c r="L305" i="1" s="1"/>
  <c r="H306" i="1"/>
  <c r="L306" i="1" s="1"/>
  <c r="H307" i="1"/>
  <c r="L307" i="1" s="1"/>
  <c r="H110" i="1"/>
  <c r="A110" i="1" s="1"/>
  <c r="I302" i="1"/>
  <c r="M302" i="1" s="1"/>
  <c r="G301" i="1"/>
  <c r="K301" i="1" s="1"/>
  <c r="G302" i="1"/>
  <c r="K302" i="1" s="1"/>
  <c r="H303" i="1"/>
  <c r="L303" i="1" s="1"/>
  <c r="H301" i="1"/>
  <c r="L301" i="1" s="1"/>
  <c r="I303" i="1"/>
  <c r="M303" i="1" s="1"/>
  <c r="I301" i="1"/>
  <c r="M301" i="1" s="1"/>
  <c r="H302" i="1"/>
  <c r="L302" i="1" s="1"/>
  <c r="G303" i="1"/>
  <c r="K303" i="1" s="1"/>
  <c r="H64" i="1"/>
  <c r="A64" i="1" s="1"/>
  <c r="H144" i="1"/>
  <c r="A144" i="1" s="1"/>
  <c r="H155" i="1"/>
  <c r="J155" i="1" s="1"/>
  <c r="G155" i="1"/>
  <c r="I155" i="1" s="1"/>
  <c r="G156" i="1"/>
  <c r="I156" i="1" s="1"/>
  <c r="H154" i="1"/>
  <c r="J154" i="1" s="1"/>
  <c r="H156" i="1"/>
  <c r="J156" i="1" s="1"/>
  <c r="G154" i="1"/>
  <c r="I154" i="1" s="1"/>
  <c r="H24" i="1"/>
  <c r="A24" i="1" s="1"/>
  <c r="H14" i="1"/>
  <c r="A14" i="1" s="1"/>
  <c r="H277" i="1"/>
  <c r="A277" i="1" s="1"/>
  <c r="H256" i="1"/>
  <c r="A256" i="1" s="1"/>
  <c r="H184" i="1"/>
  <c r="A184" i="1" s="1"/>
  <c r="H283" i="1"/>
  <c r="A283" i="1" s="1"/>
  <c r="G313" i="1"/>
  <c r="K313" i="1" s="1"/>
  <c r="G312" i="1"/>
  <c r="K312" i="1" s="1"/>
  <c r="G314" i="1"/>
  <c r="K314" i="1" s="1"/>
  <c r="H96" i="1"/>
  <c r="A96" i="1" s="1"/>
  <c r="I221" i="1"/>
  <c r="M221" i="1" s="1"/>
  <c r="I223" i="1"/>
  <c r="M223" i="1" s="1"/>
  <c r="H222" i="1"/>
  <c r="L222" i="1" s="1"/>
  <c r="G222" i="1"/>
  <c r="K222" i="1" s="1"/>
  <c r="H221" i="1"/>
  <c r="L221" i="1" s="1"/>
  <c r="G221" i="1"/>
  <c r="K221" i="1" s="1"/>
  <c r="J221" i="1"/>
  <c r="N221" i="1" s="1"/>
  <c r="I222" i="1"/>
  <c r="M222" i="1" s="1"/>
  <c r="H224" i="1"/>
  <c r="L224" i="1" s="1"/>
  <c r="H223" i="1"/>
  <c r="L223" i="1" s="1"/>
  <c r="J223" i="1"/>
  <c r="N223" i="1" s="1"/>
  <c r="J224" i="1"/>
  <c r="N224" i="1" s="1"/>
  <c r="I224" i="1"/>
  <c r="M224" i="1" s="1"/>
  <c r="G224" i="1"/>
  <c r="K224" i="1" s="1"/>
  <c r="G223" i="1"/>
  <c r="K223" i="1" s="1"/>
  <c r="J222" i="1"/>
  <c r="N222" i="1" s="1"/>
  <c r="H215" i="1"/>
  <c r="A215" i="1" s="1"/>
  <c r="H44" i="1"/>
  <c r="A44" i="1" s="1"/>
  <c r="H86" i="1"/>
  <c r="A86" i="1" s="1"/>
  <c r="H67" i="1"/>
  <c r="A67" i="1" s="1"/>
  <c r="H26" i="1"/>
  <c r="A26" i="1" s="1"/>
  <c r="H340" i="1"/>
  <c r="A340" i="1" s="1"/>
  <c r="H322" i="1"/>
  <c r="A322" i="1" s="1"/>
  <c r="H324" i="1"/>
  <c r="A324" i="1" s="1"/>
  <c r="H332" i="1"/>
  <c r="A332" i="1" s="1"/>
  <c r="G357" i="1"/>
  <c r="M360" i="1"/>
  <c r="L359" i="1"/>
  <c r="K358" i="1"/>
  <c r="K357" i="1"/>
  <c r="M359" i="1"/>
  <c r="L360" i="1"/>
  <c r="K359" i="1"/>
  <c r="M357" i="1"/>
  <c r="L358" i="1"/>
  <c r="L357" i="1"/>
  <c r="M358" i="1"/>
  <c r="K360" i="1"/>
  <c r="A357" i="1" l="1"/>
  <c r="B3" i="1" s="1"/>
  <c r="A309" i="1"/>
  <c r="A273" i="1"/>
  <c r="A249" i="1"/>
  <c r="A6" i="1"/>
  <c r="A121" i="1"/>
  <c r="A170" i="1"/>
  <c r="A161" i="1"/>
  <c r="A262" i="1"/>
  <c r="A140" i="1"/>
  <c r="A301" i="1"/>
  <c r="A199" i="1"/>
  <c r="A180" i="1"/>
  <c r="A210" i="1"/>
  <c r="A49" i="1"/>
  <c r="A189" i="1"/>
  <c r="A70" i="1"/>
  <c r="A132" i="1"/>
  <c r="A221" i="1"/>
  <c r="A312" i="1"/>
  <c r="A154" i="1"/>
  <c r="A305" i="1"/>
  <c r="A118" i="1"/>
  <c r="A89" i="1"/>
  <c r="A1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<sst xmlns="http://schemas.openxmlformats.org/spreadsheetml/2006/main" count="299" uniqueCount="144">
  <si>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</si>
  <si>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</si>
  <si>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</si>
  <si>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</si>
  <si>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</si>
  <si>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</si>
  <si>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</si>
  <si>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</si>
  <si>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</si>
  <si>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</si>
  <si>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</si>
  <si>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</si>
  <si>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</si>
  <si>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</si>
  <si>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</si>
  <si>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</si>
  <si>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</si>
  <si>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</si>
  <si>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</si>
  <si>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</si>
  <si>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</si>
  <si>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</si>
  <si>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</si>
  <si>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</si>
  <si>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</si>
  <si>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</si>
  <si>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</si>
  <si>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</si>
  <si>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</si>
  <si>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</si>
  <si>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</si>
  <si>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</si>
  <si>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</si>
  <si>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</si>
  <si>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</si>
  <si>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</si>
  <si>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</si>
  <si>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</si>
  <si>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</si>
  <si>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</si>
  <si>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</si>
  <si>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</si>
  <si>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</si>
  <si>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</si>
  <si>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</si>
  <si>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</si>
  <si>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</si>
  <si>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</si>
  <si>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</si>
  <si>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</si>
  <si>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</si>
  <si>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</si>
  <si>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</si>
  <si>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</si>
  <si>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</si>
  <si>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</si>
  <si>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</si>
  <si>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</si>
  <si>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</si>
  <si>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</si>
  <si>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</si>
  <si>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</si>
  <si>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</si>
  <si>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</si>
  <si>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</si>
  <si>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</si>
  <si>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</si>
  <si>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</si>
  <si>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</si>
  <si>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</si>
  <si>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</si>
  <si>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</si>
  <si>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</si>
  <si>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</si>
  <si>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</si>
  <si>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</si>
  <si>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</si>
  <si>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</si>
  <si>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</si>
  <si>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</si>
  <si>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</si>
  <si>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</si>
  <si>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</si>
  <si>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</si>
  <si>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</si>
  <si>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</si>
  <si>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</si>
  <si>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</si>
  <si>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</si>
  <si>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</si>
  <si>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</si>
  <si>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</si>
  <si>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</si>
  <si>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</si>
  <si>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</si>
  <si>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</si>
  <si>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</si>
  <si>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</si>
  <si>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</si>
  <si>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</si>
  <si>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</si>
  <si>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</si>
  <si>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</si>
  <si>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</si>
  <si>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</si>
  <si>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</si>
  <si>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</si>
  <si>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</si>
  <si>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</si>
  <si>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</si>
  <si>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</si>
  <si>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</si>
  <si>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</si>
  <si>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</si>
  <si>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</si>
  <si>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</si>
  <si>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</si>
  <si>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</si>
  <si>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</si>
  <si>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</si>
  <si>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</si>
  <si>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</si>
  <si>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</si>
  <si>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</si>
  <si>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</si>
  <si>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</si>
  <si>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</si>
  <si>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</si>
  <si>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</si>
  <si>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</si>
  <si>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</si>
  <si>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</si>
  <si>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</si>
  <si>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</si>
  <si>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</si>
  <si>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</si>
  <si>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</si>
  <si>
    <t>return_pd_nat</t>
  </si>
  <si>
    <t>cell_caller_multiple_args</t>
  </si>
  <si>
    <t>cell_caller</t>
  </si>
  <si>
    <t>Test</t>
  </si>
  <si>
    <t>varargs_arg_decorator</t>
  </si>
  <si>
    <t>one</t>
  </si>
  <si>
    <t>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</si>
</sst>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22" fontId="1" fillId="0" borderId="0" xfId="1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  <xf numFmtId="0" fontId="0" fillId="4" borderId="0" xfId="0" applyFill="1"/>
  </cellXfs>
  <cellStyles count="2">
    <cellStyle name="Normal" xfId="0" builtinId="0"/>
    <cellStyle name="Normal 2" xfId="1" xr:uid="{00000000-0005-0000-0000-000001000000}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</xdr:row>
          <xdr:rowOff>190500</xdr:rowOff>
        </xdr:from>
        <xdr:to>
          <xdr:col>4</xdr:col>
          <xdr:colOff>241300</xdr:colOff>
          <xdr:row>3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0"/>
  <sheetViews>
    <sheetView tabSelected="1" zoomScale="60" zoomScaleNormal="60" workbookViewId="0">
      <selection activeCell="D13" sqref="D13"/>
    </sheetView>
  </sheetViews>
  <sheetFormatPr defaultColWidth="11" defaultRowHeight="15.5" x14ac:dyDescent="0.35"/>
  <cols>
    <col min="2" max="2" width="39" bestFit="1" customWidth="1"/>
    <col min="3" max="3" width="13.1640625" customWidth="1"/>
    <col min="4" max="5" width="13.9140625" bestFit="1" customWidth="1"/>
    <col min="6" max="7" width="16.4140625" bestFit="1" customWidth="1"/>
  </cols>
  <sheetData>
    <row r="1" spans="1:8" x14ac:dyDescent="0.35">
      <c r="A1" t="s">
        <v>86</v>
      </c>
      <c r="F1" s="17" t="s">
        <v>0</v>
      </c>
      <c r="G1" s="18" t="s">
        <v>1</v>
      </c>
      <c r="H1" s="14" t="s">
        <v>76</v>
      </c>
    </row>
    <row r="3" spans="1:8" x14ac:dyDescent="0.35">
      <c r="A3" s="14" t="s">
        <v>77</v>
      </c>
      <c r="B3" s="19">
        <f>COUNTIF(A:A,FALSE)</f>
        <v>0</v>
      </c>
    </row>
    <row r="6" spans="1:8" x14ac:dyDescent="0.3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t="b">
        <f>F6=G6</f>
        <v>1</v>
      </c>
    </row>
    <row r="7" spans="1:8" x14ac:dyDescent="0.35">
      <c r="D7">
        <v>2</v>
      </c>
      <c r="F7" s="1" t="b">
        <v>1</v>
      </c>
      <c r="G7" s="2" t="b">
        <f>read_float(D7)</f>
        <v>1</v>
      </c>
      <c r="H7" t="b">
        <f>F7=G7</f>
        <v>1</v>
      </c>
    </row>
    <row r="9" spans="1:8" x14ac:dyDescent="0.3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t="b">
        <f>F9=G9</f>
        <v>1</v>
      </c>
    </row>
    <row r="11" spans="1:8" x14ac:dyDescent="0.3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t="b">
        <f>F11=G11</f>
        <v>1</v>
      </c>
    </row>
    <row r="12" spans="1:8" x14ac:dyDescent="0.35">
      <c r="D12" s="8" t="s">
        <v>2</v>
      </c>
      <c r="F12" s="1" t="b">
        <v>1</v>
      </c>
      <c r="G12" s="2" t="b">
        <f>read_string(D12)</f>
        <v>1</v>
      </c>
      <c r="H12" t="b">
        <f>F12=G12</f>
        <v>1</v>
      </c>
    </row>
    <row r="14" spans="1:8" x14ac:dyDescent="0.3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t="b">
        <f>F14=G14</f>
        <v>1</v>
      </c>
    </row>
    <row r="16" spans="1:8" x14ac:dyDescent="0.3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t="b">
        <f>F16=G16</f>
        <v>1</v>
      </c>
    </row>
    <row r="18" spans="1:10" x14ac:dyDescent="0.35">
      <c r="A18" t="b">
        <f>H18</f>
        <v>1</v>
      </c>
      <c r="B18" s="3" t="s">
        <v>10</v>
      </c>
      <c r="C18" s="3"/>
      <c r="D18" s="4">
        <v>42019</v>
      </c>
      <c r="F18" s="1" t="b">
        <v>1</v>
      </c>
      <c r="G18" s="2" t="b">
        <f>read_date(D18)</f>
        <v>1</v>
      </c>
      <c r="H18" t="b">
        <f>F18=G18</f>
        <v>1</v>
      </c>
    </row>
    <row r="20" spans="1:10" x14ac:dyDescent="0.35">
      <c r="A20" t="b">
        <f>H20</f>
        <v>1</v>
      </c>
      <c r="B20" s="3" t="s">
        <v>11</v>
      </c>
      <c r="C20" s="3"/>
      <c r="D20" s="4"/>
      <c r="F20" s="5">
        <v>25568</v>
      </c>
      <c r="G20" s="6">
        <f>write_date()</f>
        <v>25568</v>
      </c>
      <c r="H20" t="b">
        <f>F20=G20</f>
        <v>1</v>
      </c>
    </row>
    <row r="21" spans="1:10" x14ac:dyDescent="0.35">
      <c r="D21" s="4"/>
    </row>
    <row r="22" spans="1:10" x14ac:dyDescent="0.35">
      <c r="A22" t="b">
        <f>H22</f>
        <v>1</v>
      </c>
      <c r="B22" s="3" t="s">
        <v>12</v>
      </c>
      <c r="C22" s="3"/>
      <c r="D22" s="7">
        <v>27805.546087962965</v>
      </c>
      <c r="F22" s="1" t="b">
        <v>1</v>
      </c>
      <c r="G22" s="2" t="b">
        <f>read_datetime(D22)</f>
        <v>1</v>
      </c>
      <c r="H22" t="b">
        <f>F22=G22</f>
        <v>1</v>
      </c>
    </row>
    <row r="23" spans="1:10" x14ac:dyDescent="0.35">
      <c r="D23" s="4"/>
      <c r="F23" s="4"/>
      <c r="G23" s="4"/>
    </row>
    <row r="24" spans="1:10" x14ac:dyDescent="0.35">
      <c r="A24" t="b">
        <f>H24</f>
        <v>1</v>
      </c>
      <c r="B24" s="3" t="s">
        <v>13</v>
      </c>
      <c r="C24" s="3"/>
      <c r="D24" s="4"/>
      <c r="F24" s="15">
        <v>27805.546099537038</v>
      </c>
      <c r="G24" s="16">
        <f>write_datetime()</f>
        <v>27805.546099537038</v>
      </c>
      <c r="H24" t="b">
        <f>F24=G24</f>
        <v>1</v>
      </c>
    </row>
    <row r="25" spans="1:10" x14ac:dyDescent="0.35">
      <c r="D25" s="4"/>
      <c r="F25" s="4"/>
      <c r="G25" s="4"/>
    </row>
    <row r="26" spans="1:10" x14ac:dyDescent="0.35">
      <c r="A26" t="b">
        <f>H26</f>
        <v>1</v>
      </c>
      <c r="B26" s="3" t="s">
        <v>14</v>
      </c>
      <c r="C26" s="3"/>
      <c r="D26">
        <v>1</v>
      </c>
      <c r="E26">
        <v>2</v>
      </c>
      <c r="F26" s="1" t="b">
        <v>1</v>
      </c>
      <c r="G26" s="2" t="b">
        <f>read_horizontal_list(D26:E26)</f>
        <v>1</v>
      </c>
      <c r="H26" t="b">
        <f>F26=G26</f>
        <v>1</v>
      </c>
    </row>
    <row r="28" spans="1:10" x14ac:dyDescent="0.3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30" spans="1:10" x14ac:dyDescent="0.35">
      <c r="A30" t="b">
        <f>H30</f>
        <v>1</v>
      </c>
      <c r="B30" s="3" t="s">
        <v>16</v>
      </c>
      <c r="C30" s="3"/>
      <c r="D30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35">
      <c r="D31">
        <v>2</v>
      </c>
    </row>
    <row r="33" spans="1:10" x14ac:dyDescent="0.35">
      <c r="A33" t="b">
        <f>AND(H33:H34)</f>
        <v>1</v>
      </c>
      <c r="B33" s="3" t="s">
        <v>17</v>
      </c>
      <c r="C33" s="3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35">
      <c r="F34" s="1">
        <v>2</v>
      </c>
      <c r="G34" s="2">
        <v>2</v>
      </c>
      <c r="H34" t="b">
        <f>G34=F34</f>
        <v>1</v>
      </c>
    </row>
    <row r="36" spans="1:10" x14ac:dyDescent="0.35">
      <c r="A36" t="b">
        <f>H36</f>
        <v>1</v>
      </c>
      <c r="B36" s="3" t="s">
        <v>18</v>
      </c>
      <c r="C36" s="3"/>
      <c r="D36">
        <v>1</v>
      </c>
      <c r="E36">
        <v>2</v>
      </c>
      <c r="F36" s="1" t="b">
        <v>1</v>
      </c>
      <c r="G36" s="2" t="b">
        <f>read_2dlist(D36:E37)</f>
        <v>1</v>
      </c>
      <c r="H36" t="b">
        <f>G36=F36</f>
        <v>1</v>
      </c>
    </row>
    <row r="37" spans="1:10" x14ac:dyDescent="0.35">
      <c r="D37">
        <v>3</v>
      </c>
      <c r="E37">
        <v>4</v>
      </c>
    </row>
    <row r="39" spans="1:10" x14ac:dyDescent="0.35">
      <c r="A39" t="b">
        <f>AND(I39:J40)</f>
        <v>1</v>
      </c>
      <c r="B39" s="3" t="s">
        <v>19</v>
      </c>
      <c r="C39" s="3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t="b">
        <f>G39=E39</f>
        <v>1</v>
      </c>
      <c r="J39" t="b">
        <f>H39=F39</f>
        <v>1</v>
      </c>
    </row>
    <row r="40" spans="1:10" x14ac:dyDescent="0.35">
      <c r="E40" s="1">
        <v>3</v>
      </c>
      <c r="F40" s="1">
        <v>4</v>
      </c>
      <c r="G40" s="2">
        <v>3</v>
      </c>
      <c r="H40" s="2">
        <v>4</v>
      </c>
      <c r="I40" t="b">
        <f>G40=E40</f>
        <v>1</v>
      </c>
      <c r="J40" t="b">
        <f>H40=F40</f>
        <v>1</v>
      </c>
    </row>
    <row r="42" spans="1:10" x14ac:dyDescent="0.3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3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3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35">
      <c r="D47">
        <v>3</v>
      </c>
      <c r="E47">
        <v>4</v>
      </c>
    </row>
    <row r="49" spans="1:10" x14ac:dyDescent="0.3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3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2" spans="1:10" x14ac:dyDescent="0.35">
      <c r="A52" t="b">
        <f>H52</f>
        <v>1</v>
      </c>
      <c r="B52" s="3" t="s">
        <v>24</v>
      </c>
      <c r="C52" s="3"/>
      <c r="D52">
        <v>1</v>
      </c>
      <c r="E52" s="4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35">
      <c r="D53" s="4">
        <v>36861</v>
      </c>
      <c r="E53">
        <v>4</v>
      </c>
    </row>
    <row r="54" spans="1:10" x14ac:dyDescent="0.35">
      <c r="D54" s="4"/>
    </row>
    <row r="55" spans="1:10" x14ac:dyDescent="0.35">
      <c r="A55" t="b">
        <f>H55</f>
        <v>1</v>
      </c>
      <c r="B55" s="3" t="s">
        <v>25</v>
      </c>
      <c r="C55" s="3"/>
      <c r="D55" s="4"/>
      <c r="E55" s="7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35">
      <c r="D56" s="4"/>
    </row>
    <row r="58" spans="1:10" x14ac:dyDescent="0.35">
      <c r="A58" t="b">
        <f>H58</f>
        <v>1</v>
      </c>
      <c r="B58" s="3" t="s">
        <v>26</v>
      </c>
      <c r="C58" s="3"/>
      <c r="D58">
        <v>1</v>
      </c>
      <c r="E58" s="4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35">
      <c r="D59" s="4">
        <v>36861</v>
      </c>
      <c r="E59">
        <v>4</v>
      </c>
    </row>
    <row r="61" spans="1:10" x14ac:dyDescent="0.35">
      <c r="A61" t="b">
        <f>H61</f>
        <v>1</v>
      </c>
      <c r="B61" s="3" t="s">
        <v>27</v>
      </c>
      <c r="C61" s="3"/>
      <c r="D61">
        <v>1</v>
      </c>
      <c r="E61" s="4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35">
      <c r="D62" s="4"/>
      <c r="E62">
        <v>4</v>
      </c>
    </row>
    <row r="63" spans="1:10" x14ac:dyDescent="0.35">
      <c r="D63" s="4"/>
    </row>
    <row r="64" spans="1:10" x14ac:dyDescent="0.35">
      <c r="A64" t="b">
        <f>H64</f>
        <v>1</v>
      </c>
      <c r="B64" s="3" t="s">
        <v>101</v>
      </c>
      <c r="C64" s="3"/>
      <c r="D64" s="8" t="s">
        <v>50</v>
      </c>
      <c r="E64" s="8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35">
      <c r="D65" s="8" t="s">
        <v>51</v>
      </c>
      <c r="E65" s="8" t="s">
        <v>52</v>
      </c>
    </row>
    <row r="67" spans="1:10" x14ac:dyDescent="0.35">
      <c r="A67" t="b">
        <f>H67</f>
        <v>1</v>
      </c>
      <c r="B67" s="3" t="s">
        <v>102</v>
      </c>
      <c r="C67" s="3"/>
      <c r="D67" s="8" t="s">
        <v>50</v>
      </c>
      <c r="E67" s="8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35">
      <c r="D68" s="8" t="s">
        <v>51</v>
      </c>
      <c r="E68" s="8" t="s">
        <v>52</v>
      </c>
    </row>
    <row r="70" spans="1:10" x14ac:dyDescent="0.35">
      <c r="A70" t="b">
        <f>AND(I70:J71)</f>
        <v>1</v>
      </c>
      <c r="B70" s="3" t="s">
        <v>53</v>
      </c>
      <c r="C70" s="3"/>
      <c r="E70" s="10" t="s">
        <v>50</v>
      </c>
      <c r="F70" s="10">
        <v>1</v>
      </c>
      <c r="G70" s="11" t="str">
        <f t="array" ref="G70:H71">write_dict()</f>
        <v>a</v>
      </c>
      <c r="H70" s="11">
        <v>1</v>
      </c>
      <c r="I70" t="b">
        <f>OR(G70=E70,G70=E71)</f>
        <v>1</v>
      </c>
      <c r="J70" t="b">
        <f>OR(H70=F70,H70=F71)</f>
        <v>1</v>
      </c>
    </row>
    <row r="71" spans="1:10" x14ac:dyDescent="0.35">
      <c r="E71" s="10" t="s">
        <v>51</v>
      </c>
      <c r="F71" s="10" t="s">
        <v>52</v>
      </c>
      <c r="G71" s="11" t="str">
        <v>b</v>
      </c>
      <c r="H71" s="11" t="str">
        <v>c</v>
      </c>
      <c r="I71" t="b">
        <f>OR(G71=E71,G71=E70)</f>
        <v>1</v>
      </c>
      <c r="J71" t="b">
        <f>OR(H71=F71,F70)</f>
        <v>1</v>
      </c>
    </row>
    <row r="73" spans="1:10" x14ac:dyDescent="0.3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35">
      <c r="B74" s="3"/>
      <c r="C74" s="3"/>
    </row>
    <row r="75" spans="1:10" x14ac:dyDescent="0.3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35">
      <c r="B76" s="3"/>
      <c r="C76" s="3"/>
    </row>
    <row r="77" spans="1:10" x14ac:dyDescent="0.3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3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35">
      <c r="D80">
        <v>2</v>
      </c>
    </row>
    <row r="82" spans="1:10" x14ac:dyDescent="0.3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3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3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35">
      <c r="D87">
        <v>3</v>
      </c>
      <c r="E87">
        <v>4</v>
      </c>
    </row>
    <row r="89" spans="1:10" x14ac:dyDescent="0.3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3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35">
      <c r="A92" t="b">
        <f>H92</f>
        <v>1</v>
      </c>
      <c r="B92" s="3" t="s">
        <v>36</v>
      </c>
      <c r="C92" s="3"/>
      <c r="D92" s="4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35">
      <c r="A94" t="b">
        <f>H94</f>
        <v>1</v>
      </c>
      <c r="B94" s="3" t="s">
        <v>37</v>
      </c>
      <c r="C94" s="3"/>
      <c r="D94" s="4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3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x14ac:dyDescent="0.35">
      <c r="B97" s="3"/>
      <c r="C97" s="3"/>
    </row>
    <row r="98" spans="1:8" x14ac:dyDescent="0.3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x14ac:dyDescent="0.35">
      <c r="B99" s="3"/>
      <c r="C99" s="3"/>
    </row>
    <row r="100" spans="1:8" x14ac:dyDescent="0.3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35">
      <c r="D101">
        <v>2</v>
      </c>
    </row>
    <row r="103" spans="1:8" x14ac:dyDescent="0.3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35">
      <c r="D104">
        <v>20</v>
      </c>
      <c r="E104">
        <v>2</v>
      </c>
    </row>
    <row r="106" spans="1:8" x14ac:dyDescent="0.35">
      <c r="A106" t="b">
        <f>H106</f>
        <v>1</v>
      </c>
      <c r="B106" s="3" t="s">
        <v>39</v>
      </c>
      <c r="C106" s="3"/>
      <c r="E106" s="8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35">
      <c r="E107">
        <v>1</v>
      </c>
    </row>
    <row r="108" spans="1:8" x14ac:dyDescent="0.35">
      <c r="E108">
        <v>2</v>
      </c>
    </row>
    <row r="110" spans="1:8" x14ac:dyDescent="0.35">
      <c r="A110" t="b">
        <f>H110</f>
        <v>1</v>
      </c>
      <c r="B110" s="3" t="s">
        <v>40</v>
      </c>
      <c r="C110" s="3"/>
      <c r="D110" s="8" t="s">
        <v>4</v>
      </c>
      <c r="E110" s="8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35">
      <c r="D111">
        <v>10</v>
      </c>
      <c r="E111">
        <v>1</v>
      </c>
    </row>
    <row r="112" spans="1:8" x14ac:dyDescent="0.35">
      <c r="D112">
        <v>20</v>
      </c>
      <c r="E112">
        <v>2</v>
      </c>
    </row>
    <row r="114" spans="1:10" x14ac:dyDescent="0.35">
      <c r="A114" t="b">
        <f>H114</f>
        <v>1</v>
      </c>
      <c r="B114" s="3" t="s">
        <v>41</v>
      </c>
      <c r="C114" s="3"/>
      <c r="E114" s="8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35">
      <c r="D115">
        <v>10</v>
      </c>
      <c r="E115">
        <v>1</v>
      </c>
    </row>
    <row r="116" spans="1:10" x14ac:dyDescent="0.35">
      <c r="D116">
        <v>20</v>
      </c>
      <c r="E116">
        <v>2</v>
      </c>
    </row>
    <row r="118" spans="1:10" x14ac:dyDescent="0.3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35">
      <c r="F119" s="1">
        <v>2</v>
      </c>
      <c r="G119" s="2">
        <v>2</v>
      </c>
      <c r="H119" t="b">
        <f t="shared" si="0"/>
        <v>1</v>
      </c>
    </row>
    <row r="121" spans="1:10" x14ac:dyDescent="0.3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3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35">
      <c r="A124" t="b">
        <f>AND(H124:H126)</f>
        <v>1</v>
      </c>
      <c r="B124" s="3" t="s">
        <v>44</v>
      </c>
      <c r="C124" s="3"/>
      <c r="F124" s="10" t="s">
        <v>3</v>
      </c>
      <c r="G124" s="11" t="str">
        <f t="array" ref="G124:G126">write_series_header_noindex()</f>
        <v>name</v>
      </c>
      <c r="H124" t="b">
        <f>F124=G124</f>
        <v>1</v>
      </c>
    </row>
    <row r="125" spans="1:10" x14ac:dyDescent="0.35">
      <c r="F125" s="10">
        <v>1</v>
      </c>
      <c r="G125" s="11">
        <v>1</v>
      </c>
      <c r="H125" t="b">
        <f>F125=G125</f>
        <v>1</v>
      </c>
    </row>
    <row r="126" spans="1:10" x14ac:dyDescent="0.35">
      <c r="F126" s="10">
        <v>2</v>
      </c>
      <c r="G126" s="11">
        <v>2</v>
      </c>
      <c r="H126" t="b">
        <f>F126=G126</f>
        <v>1</v>
      </c>
    </row>
    <row r="128" spans="1:10" x14ac:dyDescent="0.35">
      <c r="A128" t="b">
        <f>AND(I128:J130)</f>
        <v>1</v>
      </c>
      <c r="B128" s="3" t="s">
        <v>45</v>
      </c>
      <c r="C128" s="3"/>
      <c r="E128" s="10" t="s">
        <v>4</v>
      </c>
      <c r="F128" s="10" t="s">
        <v>3</v>
      </c>
      <c r="G128" s="11" t="str">
        <f t="array" ref="G128:H130">write_series_header_named_index()</f>
        <v>ix</v>
      </c>
      <c r="H128" s="11" t="str">
        <v>name</v>
      </c>
      <c r="I128" t="b">
        <f>G128=E128</f>
        <v>1</v>
      </c>
      <c r="J128" t="b">
        <f>H128=F128</f>
        <v>1</v>
      </c>
    </row>
    <row r="129" spans="1:10" x14ac:dyDescent="0.35">
      <c r="E129" s="10">
        <v>10</v>
      </c>
      <c r="F129" s="10">
        <v>1</v>
      </c>
      <c r="G129" s="11">
        <v>10</v>
      </c>
      <c r="H129" s="11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35">
      <c r="E130" s="10">
        <v>20</v>
      </c>
      <c r="F130" s="10">
        <v>2</v>
      </c>
      <c r="G130" s="11">
        <v>20</v>
      </c>
      <c r="H130" s="11">
        <v>2</v>
      </c>
      <c r="I130" t="b">
        <f t="shared" si="1"/>
        <v>1</v>
      </c>
      <c r="J130" t="b">
        <f t="shared" si="1"/>
        <v>1</v>
      </c>
    </row>
    <row r="132" spans="1:10" x14ac:dyDescent="0.3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3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3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35">
      <c r="A136" t="b">
        <f>H136</f>
        <v>1</v>
      </c>
      <c r="B136" s="3" t="s">
        <v>47</v>
      </c>
      <c r="C136" s="3"/>
      <c r="E136" s="8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35">
      <c r="D137" s="4">
        <v>36880</v>
      </c>
      <c r="E137">
        <v>1.5</v>
      </c>
    </row>
    <row r="138" spans="1:10" x14ac:dyDescent="0.35">
      <c r="D138" s="4">
        <v>36881</v>
      </c>
      <c r="E138">
        <v>2.5</v>
      </c>
    </row>
    <row r="139" spans="1:10" x14ac:dyDescent="0.35">
      <c r="D139" s="4"/>
    </row>
    <row r="140" spans="1:10" x14ac:dyDescent="0.35">
      <c r="A140" t="b">
        <f>AND(I140:J142)</f>
        <v>1</v>
      </c>
      <c r="B140" s="3" t="s">
        <v>49</v>
      </c>
      <c r="C140" s="3"/>
      <c r="E140" s="10"/>
      <c r="F140" s="10" t="s">
        <v>48</v>
      </c>
      <c r="G140" s="11" t="str">
        <f t="array" ref="G140:H142">write_timeseries()</f>
        <v/>
      </c>
      <c r="H140" s="11" t="str">
        <v>ts</v>
      </c>
      <c r="I140" t="b">
        <f>G140=E140</f>
        <v>1</v>
      </c>
      <c r="J140" t="b">
        <f>H140=F140</f>
        <v>1</v>
      </c>
    </row>
    <row r="141" spans="1:10" x14ac:dyDescent="0.35">
      <c r="E141" s="12">
        <v>36880</v>
      </c>
      <c r="F141" s="10">
        <v>1.5</v>
      </c>
      <c r="G141" s="13">
        <v>36880</v>
      </c>
      <c r="H141" s="11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35">
      <c r="E142" s="12">
        <v>36881</v>
      </c>
      <c r="F142" s="10">
        <v>2.5</v>
      </c>
      <c r="G142" s="13">
        <v>36881</v>
      </c>
      <c r="H142" s="11">
        <v>2.5</v>
      </c>
      <c r="I142" t="b">
        <f t="shared" si="4"/>
        <v>1</v>
      </c>
      <c r="J142" t="b">
        <f t="shared" si="5"/>
        <v>1</v>
      </c>
    </row>
    <row r="144" spans="1:10" x14ac:dyDescent="0.3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35">
      <c r="D145">
        <v>3</v>
      </c>
      <c r="E145">
        <v>4</v>
      </c>
    </row>
    <row r="147" spans="1:10" x14ac:dyDescent="0.3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3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50" spans="1:10" x14ac:dyDescent="0.35">
      <c r="A150" t="b">
        <f>H150</f>
        <v>1</v>
      </c>
      <c r="B150" s="3" t="s">
        <v>78</v>
      </c>
      <c r="D150" s="8" t="s">
        <v>50</v>
      </c>
      <c r="E150" s="8" t="s">
        <v>51</v>
      </c>
      <c r="F150" s="1" t="b">
        <v>1</v>
      </c>
      <c r="G150" s="2" t="b">
        <f>read_df_1header_0index(D150:E152)</f>
        <v>1</v>
      </c>
      <c r="H150" t="b">
        <f>G150=F150</f>
        <v>1</v>
      </c>
    </row>
    <row r="151" spans="1:10" x14ac:dyDescent="0.35">
      <c r="D151" s="8">
        <v>1</v>
      </c>
      <c r="E151" s="8">
        <v>2</v>
      </c>
    </row>
    <row r="152" spans="1:10" x14ac:dyDescent="0.35">
      <c r="D152" s="8">
        <v>3</v>
      </c>
      <c r="E152" s="8">
        <v>4</v>
      </c>
    </row>
    <row r="154" spans="1:10" x14ac:dyDescent="0.35">
      <c r="A154" t="b">
        <f>AND(I154:J156)</f>
        <v>1</v>
      </c>
      <c r="B154" s="3" t="s">
        <v>79</v>
      </c>
      <c r="E154" s="10" t="s">
        <v>50</v>
      </c>
      <c r="F154" s="10" t="s">
        <v>51</v>
      </c>
      <c r="G154" s="11" t="str">
        <f t="array" ref="G154:H156">write_df_1header_0index()</f>
        <v>a</v>
      </c>
      <c r="H154" s="11" t="str">
        <v>b</v>
      </c>
      <c r="I154" t="b">
        <f>E154=G154</f>
        <v>1</v>
      </c>
      <c r="J154" t="b">
        <f>F154=H154</f>
        <v>1</v>
      </c>
    </row>
    <row r="155" spans="1:10" x14ac:dyDescent="0.35">
      <c r="E155" s="10">
        <v>1</v>
      </c>
      <c r="F155" s="10">
        <v>2</v>
      </c>
      <c r="G155" s="11">
        <v>1</v>
      </c>
      <c r="H155" s="11">
        <v>2</v>
      </c>
      <c r="I155" t="b">
        <f t="shared" ref="I155:J156" si="6">E155=G155</f>
        <v>1</v>
      </c>
      <c r="J155" t="b">
        <f t="shared" si="6"/>
        <v>1</v>
      </c>
    </row>
    <row r="156" spans="1:10" x14ac:dyDescent="0.35">
      <c r="E156" s="10">
        <v>3</v>
      </c>
      <c r="F156" s="10">
        <v>4</v>
      </c>
      <c r="G156" s="11">
        <v>3</v>
      </c>
      <c r="H156" s="11">
        <v>4</v>
      </c>
      <c r="I156" t="b">
        <f t="shared" si="6"/>
        <v>1</v>
      </c>
      <c r="J156" t="b">
        <f t="shared" si="6"/>
        <v>1</v>
      </c>
    </row>
    <row r="158" spans="1:10" x14ac:dyDescent="0.35">
      <c r="A158" t="b">
        <f>H158</f>
        <v>1</v>
      </c>
      <c r="B158" s="3" t="s">
        <v>80</v>
      </c>
      <c r="C158">
        <v>10</v>
      </c>
      <c r="D158" s="8">
        <v>1</v>
      </c>
      <c r="E158" s="8">
        <v>2</v>
      </c>
      <c r="F158" s="1" t="b">
        <v>1</v>
      </c>
      <c r="G158" s="2" t="b">
        <f>read_df_0header_1index(C158:E159)</f>
        <v>1</v>
      </c>
      <c r="H158" t="b">
        <f>G158=F158</f>
        <v>1</v>
      </c>
    </row>
    <row r="159" spans="1:10" x14ac:dyDescent="0.35">
      <c r="C159">
        <v>20</v>
      </c>
      <c r="D159" s="8">
        <v>3</v>
      </c>
      <c r="E159" s="8">
        <v>4</v>
      </c>
    </row>
    <row r="161" spans="1:16" x14ac:dyDescent="0.35">
      <c r="A161" t="b">
        <f>AND(J161:L162)</f>
        <v>1</v>
      </c>
      <c r="B161" s="3" t="s">
        <v>81</v>
      </c>
      <c r="D161" s="1">
        <v>10</v>
      </c>
      <c r="E161" s="10">
        <v>1</v>
      </c>
      <c r="F161" s="10">
        <v>2</v>
      </c>
      <c r="G161" s="2">
        <f t="array" ref="G161:I162">write_df_0header_1index()</f>
        <v>10</v>
      </c>
      <c r="H161" s="11">
        <v>1</v>
      </c>
      <c r="I161" s="11">
        <v>2</v>
      </c>
      <c r="J161" t="b">
        <f>G161=D161</f>
        <v>1</v>
      </c>
      <c r="K161" t="b">
        <f t="shared" ref="K161:L161" si="7">H161=E161</f>
        <v>1</v>
      </c>
      <c r="L161" t="b">
        <f t="shared" si="7"/>
        <v>1</v>
      </c>
    </row>
    <row r="162" spans="1:16" x14ac:dyDescent="0.35">
      <c r="D162" s="1">
        <v>20</v>
      </c>
      <c r="E162" s="10">
        <v>3</v>
      </c>
      <c r="F162" s="10">
        <v>4</v>
      </c>
      <c r="G162" s="2">
        <v>20</v>
      </c>
      <c r="H162" s="11">
        <v>3</v>
      </c>
      <c r="I162" s="11">
        <v>4</v>
      </c>
      <c r="J162" t="b">
        <f>G162=D162</f>
        <v>1</v>
      </c>
      <c r="K162" t="b">
        <f t="shared" ref="K162" si="8">H162=E162</f>
        <v>1</v>
      </c>
      <c r="L162" t="b">
        <f t="shared" ref="L162" si="9">I162=F162</f>
        <v>1</v>
      </c>
    </row>
    <row r="163" spans="1:16" x14ac:dyDescent="0.35">
      <c r="E163" s="8"/>
      <c r="F163" s="8"/>
      <c r="H163" s="8"/>
      <c r="I163" s="8"/>
    </row>
    <row r="164" spans="1:16" x14ac:dyDescent="0.35">
      <c r="A164" t="b">
        <f>H164</f>
        <v>1</v>
      </c>
      <c r="B164" s="3" t="s">
        <v>84</v>
      </c>
      <c r="E164" s="8"/>
      <c r="F164" s="1" t="b">
        <v>1</v>
      </c>
      <c r="G164" s="2" t="b">
        <f>read_df_0header_2index(B166:F168)</f>
        <v>1</v>
      </c>
      <c r="H164" t="b">
        <f>G164=F164</f>
        <v>1</v>
      </c>
      <c r="I164" s="8"/>
    </row>
    <row r="165" spans="1:16" x14ac:dyDescent="0.35">
      <c r="E165" s="8"/>
      <c r="F165" s="8"/>
      <c r="H165" s="8"/>
      <c r="I165" s="8"/>
    </row>
    <row r="166" spans="1:16" x14ac:dyDescent="0.35">
      <c r="B166" s="20" t="s">
        <v>50</v>
      </c>
      <c r="C166" s="20">
        <v>1</v>
      </c>
      <c r="D166" s="8">
        <v>1</v>
      </c>
      <c r="E166" s="8">
        <v>2</v>
      </c>
      <c r="F166" s="8">
        <v>3</v>
      </c>
      <c r="H166" s="8"/>
      <c r="I166" s="8"/>
    </row>
    <row r="167" spans="1:16" x14ac:dyDescent="0.35">
      <c r="B167" s="20" t="s">
        <v>50</v>
      </c>
      <c r="C167" s="20">
        <v>2</v>
      </c>
      <c r="D167" s="8">
        <v>4</v>
      </c>
      <c r="E167" s="8">
        <v>5</v>
      </c>
      <c r="F167" s="8">
        <v>6</v>
      </c>
      <c r="H167" s="8"/>
      <c r="I167" s="8"/>
    </row>
    <row r="168" spans="1:16" x14ac:dyDescent="0.35">
      <c r="B168" s="20" t="s">
        <v>51</v>
      </c>
      <c r="C168" s="20">
        <v>1</v>
      </c>
      <c r="D168" s="8">
        <v>7</v>
      </c>
      <c r="E168" s="8">
        <v>8</v>
      </c>
      <c r="F168" s="8">
        <v>9</v>
      </c>
      <c r="H168" s="8"/>
      <c r="I168" s="8"/>
    </row>
    <row r="169" spans="1:16" x14ac:dyDescent="0.35">
      <c r="B169" s="20"/>
      <c r="C169" s="20"/>
      <c r="D169" s="8"/>
      <c r="E169" s="8"/>
      <c r="F169" s="8"/>
      <c r="H169" s="8"/>
      <c r="I169" s="8"/>
    </row>
    <row r="170" spans="1:16" x14ac:dyDescent="0.35">
      <c r="A170" t="b">
        <f>AND(L171:P173)</f>
        <v>1</v>
      </c>
      <c r="B170" s="3" t="s">
        <v>85</v>
      </c>
      <c r="C170" s="20"/>
      <c r="D170" s="8"/>
      <c r="E170" s="8"/>
      <c r="F170" s="8"/>
      <c r="H170" s="8"/>
      <c r="I170" s="8"/>
    </row>
    <row r="171" spans="1:16" x14ac:dyDescent="0.35">
      <c r="B171" s="21" t="s">
        <v>50</v>
      </c>
      <c r="C171" s="21">
        <v>1</v>
      </c>
      <c r="D171" s="10">
        <v>1</v>
      </c>
      <c r="E171" s="10">
        <v>2</v>
      </c>
      <c r="F171" s="10">
        <v>3</v>
      </c>
      <c r="G171" s="2" t="str">
        <f t="array" ref="G171:K173">write_df_0header_2index()</f>
        <v>a</v>
      </c>
      <c r="H171" s="11">
        <v>1</v>
      </c>
      <c r="I171" s="11">
        <v>1</v>
      </c>
      <c r="J171" s="2">
        <v>2</v>
      </c>
      <c r="K171" s="2">
        <v>3</v>
      </c>
      <c r="L171" t="b">
        <f>B171=G171</f>
        <v>1</v>
      </c>
      <c r="M171" t="b">
        <f t="shared" ref="M171:P171" si="10">C171=H171</f>
        <v>1</v>
      </c>
      <c r="N171" t="b">
        <f t="shared" si="10"/>
        <v>1</v>
      </c>
      <c r="O171" t="b">
        <f t="shared" si="10"/>
        <v>1</v>
      </c>
      <c r="P171" t="b">
        <f t="shared" si="10"/>
        <v>1</v>
      </c>
    </row>
    <row r="172" spans="1:16" x14ac:dyDescent="0.35">
      <c r="B172" s="21" t="s">
        <v>50</v>
      </c>
      <c r="C172" s="21">
        <v>2</v>
      </c>
      <c r="D172" s="10">
        <v>4</v>
      </c>
      <c r="E172" s="10">
        <v>5</v>
      </c>
      <c r="F172" s="10">
        <v>6</v>
      </c>
      <c r="G172" s="2" t="str">
        <v>a</v>
      </c>
      <c r="H172" s="11">
        <v>2</v>
      </c>
      <c r="I172" s="11">
        <v>4</v>
      </c>
      <c r="J172" s="2">
        <v>5</v>
      </c>
      <c r="K172" s="2">
        <v>6</v>
      </c>
      <c r="L172" t="b">
        <f t="shared" ref="L172:L173" si="11">B172=G172</f>
        <v>1</v>
      </c>
      <c r="M172" t="b">
        <f t="shared" ref="M172:M173" si="12">C172=H172</f>
        <v>1</v>
      </c>
      <c r="N172" t="b">
        <f t="shared" ref="N172:N173" si="13">D172=I172</f>
        <v>1</v>
      </c>
      <c r="O172" t="b">
        <f t="shared" ref="O172:O173" si="14">E172=J172</f>
        <v>1</v>
      </c>
      <c r="P172" t="b">
        <f t="shared" ref="P172:P173" si="15">F172=K172</f>
        <v>1</v>
      </c>
    </row>
    <row r="173" spans="1:16" x14ac:dyDescent="0.35">
      <c r="B173" s="21" t="s">
        <v>51</v>
      </c>
      <c r="C173" s="21">
        <v>1</v>
      </c>
      <c r="D173" s="10">
        <v>7</v>
      </c>
      <c r="E173" s="10">
        <v>8</v>
      </c>
      <c r="F173" s="10">
        <v>9</v>
      </c>
      <c r="G173" s="2" t="str">
        <v>b</v>
      </c>
      <c r="H173" s="11">
        <v>1</v>
      </c>
      <c r="I173" s="11">
        <v>7</v>
      </c>
      <c r="J173" s="2">
        <v>8</v>
      </c>
      <c r="K173" s="2">
        <v>9</v>
      </c>
      <c r="L173" t="b">
        <f t="shared" si="11"/>
        <v>1</v>
      </c>
      <c r="M173" t="b">
        <f t="shared" si="12"/>
        <v>1</v>
      </c>
      <c r="N173" t="b">
        <f t="shared" si="13"/>
        <v>1</v>
      </c>
      <c r="O173" t="b">
        <f t="shared" si="14"/>
        <v>1</v>
      </c>
      <c r="P173" t="b">
        <f t="shared" si="15"/>
        <v>1</v>
      </c>
    </row>
    <row r="174" spans="1:16" x14ac:dyDescent="0.35">
      <c r="B174" s="20"/>
      <c r="C174" s="20"/>
      <c r="D174" s="8"/>
      <c r="E174" s="8"/>
      <c r="F174" s="8"/>
      <c r="H174" s="8"/>
      <c r="I174" s="8"/>
    </row>
    <row r="175" spans="1:16" x14ac:dyDescent="0.3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35">
      <c r="B176" s="8" t="s">
        <v>57</v>
      </c>
      <c r="C176" s="8" t="s">
        <v>52</v>
      </c>
      <c r="D176" s="8" t="s">
        <v>56</v>
      </c>
      <c r="E176" s="8" t="s">
        <v>52</v>
      </c>
    </row>
    <row r="177" spans="1:14" x14ac:dyDescent="0.35">
      <c r="B177" s="8">
        <v>1</v>
      </c>
      <c r="C177" s="8">
        <v>1</v>
      </c>
      <c r="D177" s="8">
        <v>2</v>
      </c>
      <c r="E177" s="8">
        <v>3</v>
      </c>
    </row>
    <row r="178" spans="1:14" x14ac:dyDescent="0.35">
      <c r="B178" s="8">
        <v>2</v>
      </c>
      <c r="C178" s="8">
        <v>4</v>
      </c>
      <c r="D178" s="8">
        <v>5</v>
      </c>
      <c r="E178" s="8">
        <v>6</v>
      </c>
    </row>
    <row r="179" spans="1:14" x14ac:dyDescent="0.35">
      <c r="B179" s="8"/>
      <c r="C179" s="8"/>
      <c r="D179" s="8"/>
      <c r="E179" s="8"/>
    </row>
    <row r="180" spans="1:14" x14ac:dyDescent="0.35">
      <c r="A180" t="b">
        <f>AND(K180:N182)</f>
        <v>1</v>
      </c>
      <c r="B180" s="3" t="s">
        <v>69</v>
      </c>
      <c r="C180" s="10" t="s">
        <v>57</v>
      </c>
      <c r="D180" s="10" t="s">
        <v>52</v>
      </c>
      <c r="E180" s="10" t="s">
        <v>56</v>
      </c>
      <c r="F180" s="10" t="s">
        <v>52</v>
      </c>
      <c r="G180" s="11" t="str">
        <f t="array" ref="G180:J182">write_df_1header_1namedindex()</f>
        <v>ix1</v>
      </c>
      <c r="H180" s="11" t="str">
        <v>c</v>
      </c>
      <c r="I180" s="11" t="str">
        <v>d</v>
      </c>
      <c r="J180" s="11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35">
      <c r="B181" s="8"/>
      <c r="C181" s="10">
        <v>1</v>
      </c>
      <c r="D181" s="10">
        <v>1</v>
      </c>
      <c r="E181" s="10">
        <v>2</v>
      </c>
      <c r="F181" s="10">
        <v>3</v>
      </c>
      <c r="G181" s="11">
        <v>1</v>
      </c>
      <c r="H181" s="11">
        <v>1</v>
      </c>
      <c r="I181" s="11">
        <v>2</v>
      </c>
      <c r="J181" s="11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35">
      <c r="B182" s="8"/>
      <c r="C182" s="10">
        <v>2</v>
      </c>
      <c r="D182" s="10">
        <v>4</v>
      </c>
      <c r="E182" s="10">
        <v>5</v>
      </c>
      <c r="F182" s="10">
        <v>6</v>
      </c>
      <c r="G182" s="11">
        <v>2</v>
      </c>
      <c r="H182" s="11">
        <v>4</v>
      </c>
      <c r="I182" s="11">
        <v>5</v>
      </c>
      <c r="J182" s="11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35">
      <c r="B183" s="8"/>
    </row>
    <row r="184" spans="1:14" x14ac:dyDescent="0.3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35">
      <c r="B185" s="8"/>
      <c r="C185" s="8" t="s">
        <v>52</v>
      </c>
      <c r="D185" s="8" t="s">
        <v>56</v>
      </c>
      <c r="E185" s="8" t="s">
        <v>52</v>
      </c>
    </row>
    <row r="186" spans="1:14" x14ac:dyDescent="0.35">
      <c r="B186" s="8">
        <v>1</v>
      </c>
      <c r="C186" s="8">
        <v>1</v>
      </c>
      <c r="D186" s="8">
        <v>2</v>
      </c>
      <c r="E186" s="8">
        <v>3</v>
      </c>
    </row>
    <row r="187" spans="1:14" x14ac:dyDescent="0.35">
      <c r="B187" s="8">
        <v>2</v>
      </c>
      <c r="C187" s="8">
        <v>4</v>
      </c>
      <c r="D187" s="8">
        <v>5</v>
      </c>
      <c r="E187" s="8">
        <v>6</v>
      </c>
    </row>
    <row r="188" spans="1:14" x14ac:dyDescent="0.35">
      <c r="B188" s="8"/>
      <c r="C188" s="8"/>
      <c r="D188" s="8"/>
      <c r="E188" s="8"/>
    </row>
    <row r="189" spans="1:14" x14ac:dyDescent="0.35">
      <c r="A189" t="b">
        <f>AND(K189:N191)</f>
        <v>1</v>
      </c>
      <c r="B189" s="3" t="s">
        <v>70</v>
      </c>
      <c r="C189" s="10"/>
      <c r="D189" s="10" t="s">
        <v>52</v>
      </c>
      <c r="E189" s="10" t="s">
        <v>56</v>
      </c>
      <c r="F189" s="10" t="s">
        <v>52</v>
      </c>
      <c r="G189" s="11" t="str">
        <f t="array" ref="G189:J191">write_df_1header_1unnamedindex()</f>
        <v/>
      </c>
      <c r="H189" s="11" t="str">
        <v>c</v>
      </c>
      <c r="I189" s="11" t="str">
        <v>d</v>
      </c>
      <c r="J189" s="11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35">
      <c r="B190" s="8"/>
      <c r="C190" s="10">
        <v>1</v>
      </c>
      <c r="D190" s="10">
        <v>1</v>
      </c>
      <c r="E190" s="10">
        <v>2</v>
      </c>
      <c r="F190" s="10">
        <v>3</v>
      </c>
      <c r="G190" s="11">
        <v>1</v>
      </c>
      <c r="H190" s="11">
        <v>1</v>
      </c>
      <c r="I190" s="11">
        <v>2</v>
      </c>
      <c r="J190" s="11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35">
      <c r="B191" s="8"/>
      <c r="C191" s="10">
        <v>2</v>
      </c>
      <c r="D191" s="10">
        <v>4</v>
      </c>
      <c r="E191" s="10">
        <v>5</v>
      </c>
      <c r="F191" s="10">
        <v>6</v>
      </c>
      <c r="G191" s="11">
        <v>2</v>
      </c>
      <c r="H191" s="11">
        <v>4</v>
      </c>
      <c r="I191" s="11">
        <v>5</v>
      </c>
      <c r="J191" s="11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x14ac:dyDescent="0.35">
      <c r="B192" s="8"/>
      <c r="C192" s="8"/>
      <c r="D192" s="8"/>
      <c r="E192" s="8"/>
      <c r="F192" s="8"/>
      <c r="G192" s="8"/>
      <c r="H192" s="8"/>
      <c r="I192" s="8"/>
      <c r="J192" s="8"/>
    </row>
    <row r="193" spans="1:12" x14ac:dyDescent="0.35">
      <c r="A193" t="b">
        <f>H193</f>
        <v>1</v>
      </c>
      <c r="B193" s="3" t="s">
        <v>82</v>
      </c>
      <c r="C193" s="8"/>
      <c r="D193" s="8"/>
      <c r="E193" s="8"/>
      <c r="F193" s="1" t="b">
        <v>1</v>
      </c>
      <c r="G193" s="2" t="b">
        <f t="array" ref="G193">read_df_2header_0index(C194:E197)</f>
        <v>1</v>
      </c>
      <c r="H193" s="8" t="b">
        <f>F193=G193</f>
        <v>1</v>
      </c>
      <c r="I193" s="8"/>
      <c r="J193" s="8"/>
    </row>
    <row r="194" spans="1:12" x14ac:dyDescent="0.35">
      <c r="B194" s="3"/>
      <c r="C194" s="8" t="s">
        <v>50</v>
      </c>
      <c r="D194" s="8" t="s">
        <v>50</v>
      </c>
      <c r="E194" s="8" t="s">
        <v>51</v>
      </c>
      <c r="H194" s="8"/>
      <c r="I194" s="8"/>
      <c r="J194" s="8"/>
    </row>
    <row r="195" spans="1:12" x14ac:dyDescent="0.35">
      <c r="B195" s="3"/>
      <c r="C195" s="8" t="s">
        <v>52</v>
      </c>
      <c r="D195" s="8" t="s">
        <v>56</v>
      </c>
      <c r="E195" s="8" t="s">
        <v>52</v>
      </c>
      <c r="H195" s="8"/>
      <c r="I195" s="8"/>
      <c r="J195" s="8"/>
    </row>
    <row r="196" spans="1:12" x14ac:dyDescent="0.35">
      <c r="B196" s="3"/>
      <c r="C196" s="8">
        <v>1</v>
      </c>
      <c r="D196" s="8">
        <v>2</v>
      </c>
      <c r="E196" s="8">
        <v>3</v>
      </c>
      <c r="H196" s="8"/>
      <c r="I196" s="8"/>
      <c r="J196" s="8"/>
    </row>
    <row r="197" spans="1:12" x14ac:dyDescent="0.35">
      <c r="B197" s="3"/>
      <c r="C197" s="8">
        <v>4</v>
      </c>
      <c r="D197" s="8">
        <v>5</v>
      </c>
      <c r="E197" s="8">
        <v>6</v>
      </c>
      <c r="H197" s="8"/>
      <c r="I197" s="8"/>
      <c r="J197" s="8"/>
    </row>
    <row r="198" spans="1:12" x14ac:dyDescent="0.35">
      <c r="B198" s="8"/>
      <c r="C198" s="8"/>
      <c r="D198" s="8"/>
      <c r="E198" s="8"/>
      <c r="F198" s="8"/>
      <c r="G198" s="8"/>
      <c r="H198" s="8"/>
      <c r="I198" s="8"/>
      <c r="J198" s="8"/>
    </row>
    <row r="199" spans="1:12" x14ac:dyDescent="0.35">
      <c r="A199" t="b">
        <f>AND(J199:L202)</f>
        <v>1</v>
      </c>
      <c r="B199" s="3" t="s">
        <v>83</v>
      </c>
      <c r="C199" s="8"/>
      <c r="D199" s="10" t="s">
        <v>50</v>
      </c>
      <c r="E199" s="10" t="s">
        <v>50</v>
      </c>
      <c r="F199" s="10" t="s">
        <v>51</v>
      </c>
      <c r="G199" s="11" t="str">
        <f t="array" ref="G199:I202">write_df_2header_0index()</f>
        <v>a</v>
      </c>
      <c r="H199" s="11" t="str">
        <v>a</v>
      </c>
      <c r="I199" s="11" t="str">
        <v>b</v>
      </c>
      <c r="J199" s="8" t="b">
        <f>D199=G199</f>
        <v>1</v>
      </c>
      <c r="K199" s="8" t="b">
        <f t="shared" ref="K199:L202" si="25">E199=H199</f>
        <v>1</v>
      </c>
      <c r="L199" s="8" t="b">
        <f t="shared" si="25"/>
        <v>1</v>
      </c>
    </row>
    <row r="200" spans="1:12" x14ac:dyDescent="0.35">
      <c r="B200" s="8"/>
      <c r="C200" s="8"/>
      <c r="D200" s="10" t="s">
        <v>52</v>
      </c>
      <c r="E200" s="10" t="s">
        <v>56</v>
      </c>
      <c r="F200" s="10" t="s">
        <v>52</v>
      </c>
      <c r="G200" s="11" t="str">
        <v>c</v>
      </c>
      <c r="H200" s="11" t="str">
        <v>d</v>
      </c>
      <c r="I200" s="11" t="str">
        <v>c</v>
      </c>
      <c r="J200" s="8" t="b">
        <f t="shared" ref="J200:J202" si="26">D200=G200</f>
        <v>1</v>
      </c>
      <c r="K200" s="8" t="b">
        <f t="shared" si="25"/>
        <v>1</v>
      </c>
      <c r="L200" s="8" t="b">
        <f t="shared" si="25"/>
        <v>1</v>
      </c>
    </row>
    <row r="201" spans="1:12" x14ac:dyDescent="0.35">
      <c r="B201" s="8"/>
      <c r="C201" s="8"/>
      <c r="D201" s="10">
        <v>1</v>
      </c>
      <c r="E201" s="10">
        <v>2</v>
      </c>
      <c r="F201" s="10">
        <v>3</v>
      </c>
      <c r="G201" s="11">
        <v>1</v>
      </c>
      <c r="H201" s="11">
        <v>2</v>
      </c>
      <c r="I201" s="11">
        <v>3</v>
      </c>
      <c r="J201" s="8" t="b">
        <f t="shared" si="26"/>
        <v>1</v>
      </c>
      <c r="K201" s="8" t="b">
        <f t="shared" si="25"/>
        <v>1</v>
      </c>
      <c r="L201" s="8" t="b">
        <f t="shared" si="25"/>
        <v>1</v>
      </c>
    </row>
    <row r="202" spans="1:12" x14ac:dyDescent="0.35">
      <c r="B202" s="8"/>
      <c r="C202" s="8"/>
      <c r="D202" s="10">
        <v>4</v>
      </c>
      <c r="E202" s="10">
        <v>5</v>
      </c>
      <c r="F202" s="10">
        <v>6</v>
      </c>
      <c r="G202" s="11">
        <v>4</v>
      </c>
      <c r="H202" s="11">
        <v>5</v>
      </c>
      <c r="I202" s="11">
        <v>6</v>
      </c>
      <c r="J202" s="8" t="b">
        <f t="shared" si="26"/>
        <v>1</v>
      </c>
      <c r="K202" s="8" t="b">
        <f t="shared" si="25"/>
        <v>1</v>
      </c>
      <c r="L202" s="8" t="b">
        <f t="shared" si="25"/>
        <v>1</v>
      </c>
    </row>
    <row r="204" spans="1:12" x14ac:dyDescent="0.3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35">
      <c r="C205" s="8" t="s">
        <v>50</v>
      </c>
      <c r="D205" s="8" t="s">
        <v>50</v>
      </c>
      <c r="E205" s="8" t="s">
        <v>51</v>
      </c>
    </row>
    <row r="206" spans="1:12" x14ac:dyDescent="0.35">
      <c r="B206" s="8" t="s">
        <v>57</v>
      </c>
      <c r="C206" s="8" t="s">
        <v>52</v>
      </c>
      <c r="D206" s="8" t="s">
        <v>56</v>
      </c>
      <c r="E206" s="8" t="s">
        <v>52</v>
      </c>
    </row>
    <row r="207" spans="1:12" x14ac:dyDescent="0.35">
      <c r="B207" s="8">
        <v>1</v>
      </c>
      <c r="C207" s="8">
        <v>1</v>
      </c>
      <c r="D207" s="8">
        <v>2</v>
      </c>
      <c r="E207" s="8">
        <v>3</v>
      </c>
    </row>
    <row r="208" spans="1:12" x14ac:dyDescent="0.35">
      <c r="B208" s="8">
        <v>2</v>
      </c>
      <c r="C208" s="8">
        <v>4</v>
      </c>
      <c r="D208" s="8">
        <v>5</v>
      </c>
      <c r="E208" s="8">
        <v>6</v>
      </c>
    </row>
    <row r="209" spans="1:14" x14ac:dyDescent="0.35">
      <c r="B209" s="8"/>
      <c r="C209" s="8"/>
      <c r="D209" s="8"/>
      <c r="E209" s="8"/>
    </row>
    <row r="210" spans="1:14" x14ac:dyDescent="0.35">
      <c r="A210" t="b">
        <f>AND(K210:N213)</f>
        <v>1</v>
      </c>
      <c r="B210" s="3" t="s">
        <v>67</v>
      </c>
      <c r="C210" s="1"/>
      <c r="D210" s="10" t="s">
        <v>50</v>
      </c>
      <c r="E210" s="10" t="s">
        <v>50</v>
      </c>
      <c r="F210" s="10" t="s">
        <v>51</v>
      </c>
      <c r="G210" s="11" t="str">
        <f t="array" ref="G210:J213">write_df_2header_1namedindex()</f>
        <v/>
      </c>
      <c r="H210" s="11" t="str">
        <v>a</v>
      </c>
      <c r="I210" s="11" t="str">
        <v>a</v>
      </c>
      <c r="J210" s="11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35">
      <c r="C211" s="10" t="s">
        <v>57</v>
      </c>
      <c r="D211" s="10" t="s">
        <v>52</v>
      </c>
      <c r="E211" s="10" t="s">
        <v>56</v>
      </c>
      <c r="F211" s="10" t="s">
        <v>52</v>
      </c>
      <c r="G211" s="11" t="str">
        <v>ix1</v>
      </c>
      <c r="H211" s="11" t="str">
        <v>c</v>
      </c>
      <c r="I211" s="11" t="str">
        <v>d</v>
      </c>
      <c r="J211" s="11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35">
      <c r="C212" s="10">
        <v>1</v>
      </c>
      <c r="D212" s="10">
        <v>1</v>
      </c>
      <c r="E212" s="10">
        <v>2</v>
      </c>
      <c r="F212" s="10">
        <v>3</v>
      </c>
      <c r="G212" s="11">
        <v>1</v>
      </c>
      <c r="H212" s="11">
        <v>1</v>
      </c>
      <c r="I212" s="11">
        <v>2</v>
      </c>
      <c r="J212" s="11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35">
      <c r="C213" s="10">
        <v>2</v>
      </c>
      <c r="D213" s="10">
        <v>4</v>
      </c>
      <c r="E213" s="10">
        <v>5</v>
      </c>
      <c r="F213" s="10">
        <v>6</v>
      </c>
      <c r="G213" s="11">
        <v>2</v>
      </c>
      <c r="H213" s="11">
        <v>4</v>
      </c>
      <c r="I213" s="11">
        <v>5</v>
      </c>
      <c r="J213" s="11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3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35">
      <c r="C216" s="8" t="s">
        <v>50</v>
      </c>
      <c r="D216" s="8" t="s">
        <v>50</v>
      </c>
      <c r="E216" s="8" t="s">
        <v>51</v>
      </c>
    </row>
    <row r="217" spans="1:14" x14ac:dyDescent="0.35">
      <c r="B217" s="8"/>
      <c r="C217" s="8" t="s">
        <v>52</v>
      </c>
      <c r="D217" s="8" t="s">
        <v>56</v>
      </c>
      <c r="E217" s="8" t="s">
        <v>52</v>
      </c>
    </row>
    <row r="218" spans="1:14" x14ac:dyDescent="0.35">
      <c r="B218" s="8">
        <v>1</v>
      </c>
      <c r="C218" s="8">
        <v>1</v>
      </c>
      <c r="D218" s="8">
        <v>2</v>
      </c>
      <c r="E218" s="8">
        <v>3</v>
      </c>
    </row>
    <row r="219" spans="1:14" x14ac:dyDescent="0.35">
      <c r="B219" s="8">
        <v>2</v>
      </c>
      <c r="C219" s="8">
        <v>4</v>
      </c>
      <c r="D219" s="8">
        <v>5</v>
      </c>
      <c r="E219" s="8">
        <v>6</v>
      </c>
    </row>
    <row r="220" spans="1:14" x14ac:dyDescent="0.35">
      <c r="B220" s="8"/>
      <c r="C220" s="8"/>
      <c r="D220" s="8"/>
      <c r="E220" s="8"/>
    </row>
    <row r="221" spans="1:14" x14ac:dyDescent="0.35">
      <c r="A221" t="b">
        <f>AND(K221:N224)</f>
        <v>1</v>
      </c>
      <c r="B221" s="3" t="s">
        <v>71</v>
      </c>
      <c r="C221" s="1"/>
      <c r="D221" s="10" t="s">
        <v>50</v>
      </c>
      <c r="E221" s="10" t="s">
        <v>50</v>
      </c>
      <c r="F221" s="10" t="s">
        <v>51</v>
      </c>
      <c r="G221" s="11" t="str">
        <f t="array" ref="G221:J224">write_df_2header_1unnamedindex()</f>
        <v/>
      </c>
      <c r="H221" s="11" t="str">
        <v>a</v>
      </c>
      <c r="I221" s="11" t="str">
        <v>a</v>
      </c>
      <c r="J221" s="11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35">
      <c r="B222" s="8"/>
      <c r="C222" s="10"/>
      <c r="D222" s="10" t="s">
        <v>52</v>
      </c>
      <c r="E222" s="10" t="s">
        <v>56</v>
      </c>
      <c r="F222" s="10" t="s">
        <v>52</v>
      </c>
      <c r="G222" s="11" t="str">
        <v/>
      </c>
      <c r="H222" s="11" t="str">
        <v>c</v>
      </c>
      <c r="I222" s="11" t="str">
        <v>d</v>
      </c>
      <c r="J222" s="11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35">
      <c r="B223" s="8"/>
      <c r="C223" s="10">
        <v>1</v>
      </c>
      <c r="D223" s="10">
        <v>1</v>
      </c>
      <c r="E223" s="10">
        <v>2</v>
      </c>
      <c r="F223" s="10">
        <v>3</v>
      </c>
      <c r="G223" s="11">
        <v>1</v>
      </c>
      <c r="H223" s="11">
        <v>1</v>
      </c>
      <c r="I223" s="11">
        <v>2</v>
      </c>
      <c r="J223" s="11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35">
      <c r="B224" s="8"/>
      <c r="C224" s="10">
        <v>2</v>
      </c>
      <c r="D224" s="10">
        <v>4</v>
      </c>
      <c r="E224" s="10">
        <v>5</v>
      </c>
      <c r="F224" s="10">
        <v>6</v>
      </c>
      <c r="G224" s="11">
        <v>2</v>
      </c>
      <c r="H224" s="11">
        <v>4</v>
      </c>
      <c r="I224" s="11">
        <v>5</v>
      </c>
      <c r="J224" s="11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3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35">
      <c r="B227" s="8"/>
      <c r="C227" s="8"/>
      <c r="D227" s="8" t="s">
        <v>50</v>
      </c>
      <c r="E227" s="8" t="s">
        <v>50</v>
      </c>
      <c r="F227" s="8" t="s">
        <v>51</v>
      </c>
    </row>
    <row r="228" spans="1:16" x14ac:dyDescent="0.35">
      <c r="B228" s="8" t="s">
        <v>62</v>
      </c>
      <c r="C228" s="8" t="s">
        <v>63</v>
      </c>
      <c r="D228" s="8" t="s">
        <v>52</v>
      </c>
      <c r="E228" s="8" t="s">
        <v>56</v>
      </c>
      <c r="F228" s="8" t="s">
        <v>52</v>
      </c>
    </row>
    <row r="229" spans="1:16" x14ac:dyDescent="0.35">
      <c r="B229" s="8" t="s">
        <v>50</v>
      </c>
      <c r="C229" s="8">
        <v>1</v>
      </c>
      <c r="D229" s="8">
        <v>1</v>
      </c>
      <c r="E229" s="8">
        <v>2</v>
      </c>
      <c r="F229" s="8">
        <v>3</v>
      </c>
    </row>
    <row r="230" spans="1:16" x14ac:dyDescent="0.35">
      <c r="B230" s="8" t="s">
        <v>50</v>
      </c>
      <c r="C230" s="8">
        <v>2</v>
      </c>
      <c r="D230" s="8">
        <v>4</v>
      </c>
      <c r="E230" s="8">
        <v>5</v>
      </c>
      <c r="F230" s="8">
        <v>6</v>
      </c>
    </row>
    <row r="231" spans="1:16" x14ac:dyDescent="0.35">
      <c r="B231" s="8" t="s">
        <v>51</v>
      </c>
      <c r="C231" s="8">
        <v>1</v>
      </c>
      <c r="D231" s="8">
        <v>7</v>
      </c>
      <c r="E231" s="8">
        <v>8</v>
      </c>
      <c r="F231" s="8">
        <v>9</v>
      </c>
    </row>
    <row r="232" spans="1:16" x14ac:dyDescent="0.35">
      <c r="B232" s="8"/>
      <c r="C232" s="8"/>
      <c r="D232" s="8"/>
      <c r="E232" s="8"/>
      <c r="F232" s="8"/>
    </row>
    <row r="233" spans="1:16" x14ac:dyDescent="0.35">
      <c r="A233" t="b">
        <f>AND(L234:P238)</f>
        <v>1</v>
      </c>
      <c r="B233" s="3" t="s">
        <v>72</v>
      </c>
      <c r="C233" s="8"/>
      <c r="D233" s="8"/>
      <c r="E233" s="8"/>
      <c r="F233" s="8"/>
    </row>
    <row r="234" spans="1:16" x14ac:dyDescent="0.35">
      <c r="B234" s="10"/>
      <c r="C234" s="10"/>
      <c r="D234" s="10" t="s">
        <v>50</v>
      </c>
      <c r="E234" s="10" t="s">
        <v>50</v>
      </c>
      <c r="F234" s="10" t="s">
        <v>51</v>
      </c>
      <c r="G234" s="11" t="str">
        <f t="array" ref="G234:K238">write_df_2header_2namedindex()</f>
        <v/>
      </c>
      <c r="H234" s="11" t="str">
        <v/>
      </c>
      <c r="I234" s="11" t="str">
        <v>a</v>
      </c>
      <c r="J234" s="11" t="str">
        <v>a</v>
      </c>
      <c r="K234" s="11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35">
      <c r="B235" s="10" t="s">
        <v>62</v>
      </c>
      <c r="C235" s="10" t="s">
        <v>63</v>
      </c>
      <c r="D235" s="10" t="s">
        <v>52</v>
      </c>
      <c r="E235" s="10" t="s">
        <v>56</v>
      </c>
      <c r="F235" s="10" t="s">
        <v>52</v>
      </c>
      <c r="G235" s="11" t="str">
        <v>x1</v>
      </c>
      <c r="H235" s="11" t="str">
        <v>x2</v>
      </c>
      <c r="I235" s="11" t="str">
        <v>c</v>
      </c>
      <c r="J235" s="11" t="str">
        <v>d</v>
      </c>
      <c r="K235" s="11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35">
      <c r="B236" s="10" t="s">
        <v>50</v>
      </c>
      <c r="C236" s="10">
        <v>1</v>
      </c>
      <c r="D236" s="10">
        <v>1</v>
      </c>
      <c r="E236" s="10">
        <v>2</v>
      </c>
      <c r="F236" s="10">
        <v>3</v>
      </c>
      <c r="G236" s="11" t="str">
        <v>a</v>
      </c>
      <c r="H236" s="11">
        <v>1</v>
      </c>
      <c r="I236" s="11">
        <v>1</v>
      </c>
      <c r="J236" s="11">
        <v>2</v>
      </c>
      <c r="K236" s="11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35">
      <c r="B237" s="10" t="s">
        <v>50</v>
      </c>
      <c r="C237" s="10">
        <v>2</v>
      </c>
      <c r="D237" s="10">
        <v>4</v>
      </c>
      <c r="E237" s="10">
        <v>5</v>
      </c>
      <c r="F237" s="10">
        <v>6</v>
      </c>
      <c r="G237" s="11" t="str">
        <v>a</v>
      </c>
      <c r="H237" s="11">
        <v>2</v>
      </c>
      <c r="I237" s="11">
        <v>4</v>
      </c>
      <c r="J237" s="11">
        <v>5</v>
      </c>
      <c r="K237" s="11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35">
      <c r="B238" s="10" t="s">
        <v>51</v>
      </c>
      <c r="C238" s="10">
        <v>1</v>
      </c>
      <c r="D238" s="10">
        <v>7</v>
      </c>
      <c r="E238" s="10">
        <v>8</v>
      </c>
      <c r="F238" s="10">
        <v>9</v>
      </c>
      <c r="G238" s="11" t="str">
        <v>b</v>
      </c>
      <c r="H238" s="11">
        <v>1</v>
      </c>
      <c r="I238" s="11">
        <v>7</v>
      </c>
      <c r="J238" s="11">
        <v>8</v>
      </c>
      <c r="K238" s="11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35">
      <c r="B239" s="8"/>
      <c r="C239" s="8"/>
      <c r="D239" s="8"/>
      <c r="E239" s="8"/>
      <c r="F239" s="8"/>
    </row>
    <row r="242" spans="1:16" x14ac:dyDescent="0.3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35">
      <c r="B243" s="8"/>
      <c r="C243" s="8"/>
      <c r="D243" s="8" t="s">
        <v>50</v>
      </c>
      <c r="E243" s="8" t="s">
        <v>50</v>
      </c>
      <c r="F243" s="8" t="s">
        <v>51</v>
      </c>
    </row>
    <row r="244" spans="1:16" x14ac:dyDescent="0.35">
      <c r="B244" s="8"/>
      <c r="C244" s="8"/>
      <c r="D244" s="8" t="s">
        <v>52</v>
      </c>
      <c r="E244" s="8" t="s">
        <v>56</v>
      </c>
      <c r="F244" s="8" t="s">
        <v>52</v>
      </c>
    </row>
    <row r="245" spans="1:16" x14ac:dyDescent="0.35">
      <c r="B245" s="8" t="s">
        <v>50</v>
      </c>
      <c r="C245" s="8">
        <v>1</v>
      </c>
      <c r="D245" s="8">
        <v>1</v>
      </c>
      <c r="E245" s="8">
        <v>2</v>
      </c>
      <c r="F245" s="8">
        <v>3</v>
      </c>
    </row>
    <row r="246" spans="1:16" x14ac:dyDescent="0.35">
      <c r="B246" s="8" t="s">
        <v>50</v>
      </c>
      <c r="C246" s="8">
        <v>2</v>
      </c>
      <c r="D246" s="8">
        <v>4</v>
      </c>
      <c r="E246" s="8">
        <v>5</v>
      </c>
      <c r="F246" s="8">
        <v>6</v>
      </c>
    </row>
    <row r="247" spans="1:16" x14ac:dyDescent="0.35">
      <c r="B247" s="8" t="s">
        <v>51</v>
      </c>
      <c r="C247" s="8">
        <v>1</v>
      </c>
      <c r="D247" s="8">
        <v>7</v>
      </c>
      <c r="E247" s="8">
        <v>8</v>
      </c>
      <c r="F247" s="8">
        <v>9</v>
      </c>
    </row>
    <row r="248" spans="1:16" x14ac:dyDescent="0.35">
      <c r="B248" s="8"/>
      <c r="C248" s="8"/>
      <c r="D248" s="8"/>
      <c r="E248" s="8"/>
      <c r="F248" s="8"/>
    </row>
    <row r="249" spans="1:16" x14ac:dyDescent="0.35">
      <c r="A249" t="b">
        <f>AND(L250:P254)</f>
        <v>1</v>
      </c>
      <c r="B249" s="3" t="s">
        <v>73</v>
      </c>
      <c r="C249" s="8"/>
      <c r="D249" s="8"/>
      <c r="E249" s="8"/>
      <c r="F249" s="8"/>
    </row>
    <row r="250" spans="1:16" x14ac:dyDescent="0.35">
      <c r="B250" s="10"/>
      <c r="C250" s="10"/>
      <c r="D250" s="10" t="s">
        <v>50</v>
      </c>
      <c r="E250" s="10" t="s">
        <v>50</v>
      </c>
      <c r="F250" s="10" t="s">
        <v>51</v>
      </c>
      <c r="G250" s="11" t="str">
        <f t="array" ref="G250:K254">write_df_2header_2unnamedindex()</f>
        <v/>
      </c>
      <c r="H250" s="11" t="str">
        <v/>
      </c>
      <c r="I250" s="11" t="str">
        <v>a</v>
      </c>
      <c r="J250" s="11" t="str">
        <v>a</v>
      </c>
      <c r="K250" s="11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35">
      <c r="B251" s="10"/>
      <c r="C251" s="10"/>
      <c r="D251" s="10" t="s">
        <v>52</v>
      </c>
      <c r="E251" s="10" t="s">
        <v>56</v>
      </c>
      <c r="F251" s="10" t="s">
        <v>52</v>
      </c>
      <c r="G251" s="11" t="str">
        <v/>
      </c>
      <c r="H251" s="11" t="str">
        <v/>
      </c>
      <c r="I251" s="11" t="str">
        <v>c</v>
      </c>
      <c r="J251" s="11" t="str">
        <v>d</v>
      </c>
      <c r="K251" s="11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35">
      <c r="B252" s="10" t="s">
        <v>50</v>
      </c>
      <c r="C252" s="10">
        <v>1</v>
      </c>
      <c r="D252" s="10">
        <v>1</v>
      </c>
      <c r="E252" s="10">
        <v>2</v>
      </c>
      <c r="F252" s="10">
        <v>3</v>
      </c>
      <c r="G252" s="11" t="str">
        <v>a</v>
      </c>
      <c r="H252" s="11">
        <v>1</v>
      </c>
      <c r="I252" s="11">
        <v>1</v>
      </c>
      <c r="J252" s="11">
        <v>2</v>
      </c>
      <c r="K252" s="11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35">
      <c r="B253" s="10" t="s">
        <v>50</v>
      </c>
      <c r="C253" s="10">
        <v>2</v>
      </c>
      <c r="D253" s="10">
        <v>4</v>
      </c>
      <c r="E253" s="10">
        <v>5</v>
      </c>
      <c r="F253" s="10">
        <v>6</v>
      </c>
      <c r="G253" s="11" t="str">
        <v>a</v>
      </c>
      <c r="H253" s="11">
        <v>2</v>
      </c>
      <c r="I253" s="11">
        <v>4</v>
      </c>
      <c r="J253" s="11">
        <v>5</v>
      </c>
      <c r="K253" s="11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35">
      <c r="B254" s="10" t="s">
        <v>51</v>
      </c>
      <c r="C254" s="10">
        <v>1</v>
      </c>
      <c r="D254" s="10">
        <v>7</v>
      </c>
      <c r="E254" s="10">
        <v>8</v>
      </c>
      <c r="F254" s="10">
        <v>9</v>
      </c>
      <c r="G254" s="11" t="str">
        <v>b</v>
      </c>
      <c r="H254" s="11">
        <v>1</v>
      </c>
      <c r="I254" s="11">
        <v>7</v>
      </c>
      <c r="J254" s="11">
        <v>8</v>
      </c>
      <c r="K254" s="11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3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35">
      <c r="B257" s="8" t="s">
        <v>62</v>
      </c>
      <c r="C257" s="8" t="s">
        <v>63</v>
      </c>
      <c r="D257" s="8" t="s">
        <v>50</v>
      </c>
      <c r="E257" s="8" t="s">
        <v>56</v>
      </c>
      <c r="F257" s="8" t="s">
        <v>52</v>
      </c>
    </row>
    <row r="258" spans="1:16" x14ac:dyDescent="0.35">
      <c r="B258" s="8" t="s">
        <v>50</v>
      </c>
      <c r="C258" s="8">
        <v>1</v>
      </c>
      <c r="D258" s="8">
        <v>1</v>
      </c>
      <c r="E258" s="8">
        <v>2</v>
      </c>
      <c r="F258" s="8">
        <v>3</v>
      </c>
    </row>
    <row r="259" spans="1:16" x14ac:dyDescent="0.35">
      <c r="B259" s="8" t="s">
        <v>50</v>
      </c>
      <c r="C259" s="8">
        <v>2</v>
      </c>
      <c r="D259" s="8">
        <v>4</v>
      </c>
      <c r="E259" s="8">
        <v>5</v>
      </c>
      <c r="F259" s="8">
        <v>6</v>
      </c>
    </row>
    <row r="260" spans="1:16" x14ac:dyDescent="0.35">
      <c r="B260" s="8" t="s">
        <v>51</v>
      </c>
      <c r="C260" s="8">
        <v>1</v>
      </c>
      <c r="D260" s="8">
        <v>7</v>
      </c>
      <c r="E260" s="8">
        <v>8</v>
      </c>
      <c r="F260" s="8">
        <v>9</v>
      </c>
    </row>
    <row r="261" spans="1:16" x14ac:dyDescent="0.35">
      <c r="B261" s="8"/>
      <c r="C261" s="8"/>
      <c r="D261" s="8"/>
      <c r="E261" s="8"/>
      <c r="F261" s="8"/>
    </row>
    <row r="262" spans="1:16" x14ac:dyDescent="0.35">
      <c r="A262" t="b">
        <f>AND(L263:P266)</f>
        <v>1</v>
      </c>
      <c r="B262" s="3" t="s">
        <v>74</v>
      </c>
    </row>
    <row r="263" spans="1:16" x14ac:dyDescent="0.35">
      <c r="B263" s="10" t="s">
        <v>62</v>
      </c>
      <c r="C263" s="10" t="s">
        <v>63</v>
      </c>
      <c r="D263" s="10" t="s">
        <v>50</v>
      </c>
      <c r="E263" s="10" t="s">
        <v>56</v>
      </c>
      <c r="F263" s="10" t="s">
        <v>52</v>
      </c>
      <c r="G263" s="11" t="str">
        <f t="array" ref="G263:K266">write_df_1header_2namedindex()</f>
        <v>x1</v>
      </c>
      <c r="H263" s="11" t="str">
        <v>x2</v>
      </c>
      <c r="I263" s="11" t="str">
        <v>a</v>
      </c>
      <c r="J263" s="11" t="str">
        <v>d</v>
      </c>
      <c r="K263" s="11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35">
      <c r="B264" s="10" t="s">
        <v>50</v>
      </c>
      <c r="C264" s="10">
        <v>1</v>
      </c>
      <c r="D264" s="10">
        <v>1</v>
      </c>
      <c r="E264" s="10">
        <v>2</v>
      </c>
      <c r="F264" s="10">
        <v>3</v>
      </c>
      <c r="G264" s="11" t="str">
        <v>a</v>
      </c>
      <c r="H264" s="11">
        <v>1</v>
      </c>
      <c r="I264" s="11">
        <v>1</v>
      </c>
      <c r="J264" s="11">
        <v>2</v>
      </c>
      <c r="K264" s="11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35">
      <c r="B265" s="10" t="s">
        <v>50</v>
      </c>
      <c r="C265" s="10">
        <v>2</v>
      </c>
      <c r="D265" s="10">
        <v>4</v>
      </c>
      <c r="E265" s="10">
        <v>5</v>
      </c>
      <c r="F265" s="10">
        <v>6</v>
      </c>
      <c r="G265" s="11" t="str">
        <v>a</v>
      </c>
      <c r="H265" s="11">
        <v>2</v>
      </c>
      <c r="I265" s="11">
        <v>4</v>
      </c>
      <c r="J265" s="11">
        <v>5</v>
      </c>
      <c r="K265" s="11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35">
      <c r="B266" s="10" t="s">
        <v>51</v>
      </c>
      <c r="C266" s="10">
        <v>1</v>
      </c>
      <c r="D266" s="10">
        <v>7</v>
      </c>
      <c r="E266" s="10">
        <v>8</v>
      </c>
      <c r="F266" s="10">
        <v>9</v>
      </c>
      <c r="G266" s="11" t="str">
        <v>b</v>
      </c>
      <c r="H266" s="11">
        <v>1</v>
      </c>
      <c r="I266" s="11">
        <v>7</v>
      </c>
      <c r="J266" s="11">
        <v>8</v>
      </c>
      <c r="K266" s="11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x14ac:dyDescent="0.35"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6" x14ac:dyDescent="0.3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35">
      <c r="B269" s="8"/>
      <c r="C269" s="8" t="s">
        <v>52</v>
      </c>
      <c r="D269" s="8" t="s">
        <v>56</v>
      </c>
      <c r="E269" s="8" t="s">
        <v>52</v>
      </c>
    </row>
    <row r="270" spans="1:16" x14ac:dyDescent="0.35">
      <c r="B270" s="9">
        <v>36507</v>
      </c>
      <c r="C270" s="8">
        <v>1</v>
      </c>
      <c r="D270" s="8">
        <v>2</v>
      </c>
      <c r="E270" s="8">
        <v>3</v>
      </c>
    </row>
    <row r="271" spans="1:16" x14ac:dyDescent="0.35">
      <c r="B271" s="9">
        <v>36508</v>
      </c>
      <c r="C271" s="8">
        <v>4</v>
      </c>
      <c r="D271" s="8">
        <v>5</v>
      </c>
      <c r="E271" s="8">
        <v>6</v>
      </c>
    </row>
    <row r="273" spans="1:14" x14ac:dyDescent="0.35">
      <c r="A273" t="b">
        <f>AND(K273:N275)</f>
        <v>1</v>
      </c>
      <c r="B273" s="3" t="s">
        <v>75</v>
      </c>
      <c r="C273" s="10"/>
      <c r="D273" s="10" t="s">
        <v>52</v>
      </c>
      <c r="E273" s="10" t="s">
        <v>56</v>
      </c>
      <c r="F273" s="10" t="s">
        <v>52</v>
      </c>
      <c r="G273" s="11" t="str">
        <f t="array" ref="G273:J275">write_df_date_index()</f>
        <v/>
      </c>
      <c r="H273" s="11" t="str">
        <v>c</v>
      </c>
      <c r="I273" s="11" t="str">
        <v>d</v>
      </c>
      <c r="J273" s="11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35">
      <c r="C274" s="12">
        <v>36507</v>
      </c>
      <c r="D274" s="10">
        <v>1</v>
      </c>
      <c r="E274" s="10">
        <v>2</v>
      </c>
      <c r="F274" s="10">
        <v>3</v>
      </c>
      <c r="G274" s="13">
        <v>36507</v>
      </c>
      <c r="H274" s="11">
        <v>1</v>
      </c>
      <c r="I274" s="11">
        <v>2</v>
      </c>
      <c r="J274" s="11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35">
      <c r="C275" s="12">
        <v>36508</v>
      </c>
      <c r="D275" s="10">
        <v>4</v>
      </c>
      <c r="E275" s="10">
        <v>5</v>
      </c>
      <c r="F275" s="10">
        <v>6</v>
      </c>
      <c r="G275" s="13">
        <v>36508</v>
      </c>
      <c r="H275" s="11">
        <v>4</v>
      </c>
      <c r="I275" s="11">
        <v>5</v>
      </c>
      <c r="J275" s="11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3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3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3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3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35">
      <c r="F284" s="1">
        <v>30</v>
      </c>
      <c r="G284" s="2">
        <f>optional_args(1, 30)</f>
        <v>30</v>
      </c>
    </row>
    <row r="286" spans="1:14" x14ac:dyDescent="0.3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35">
      <c r="A288" t="b">
        <f>H288</f>
        <v>1</v>
      </c>
      <c r="B288" s="3" t="s">
        <v>93</v>
      </c>
      <c r="C288" s="3"/>
      <c r="F288" s="1" t="b">
        <v>1</v>
      </c>
      <c r="G288" s="2" t="b">
        <f>read_series_header_nameless_2index(C289:E291)</f>
        <v>1</v>
      </c>
      <c r="H288" t="b">
        <f>F288=G288</f>
        <v>1</v>
      </c>
    </row>
    <row r="289" spans="1:13" x14ac:dyDescent="0.35">
      <c r="E289" t="s">
        <v>3</v>
      </c>
    </row>
    <row r="290" spans="1:13" x14ac:dyDescent="0.35">
      <c r="C290" t="s">
        <v>50</v>
      </c>
      <c r="D290">
        <v>10</v>
      </c>
      <c r="E290">
        <v>1</v>
      </c>
    </row>
    <row r="291" spans="1:13" x14ac:dyDescent="0.35">
      <c r="C291" t="s">
        <v>50</v>
      </c>
      <c r="D291">
        <v>20</v>
      </c>
      <c r="E291">
        <v>2</v>
      </c>
    </row>
    <row r="293" spans="1:13" x14ac:dyDescent="0.35">
      <c r="A293" t="b">
        <f>H293</f>
        <v>1</v>
      </c>
      <c r="B293" s="3" t="s">
        <v>94</v>
      </c>
      <c r="C293" s="3"/>
      <c r="F293" s="1" t="b">
        <v>1</v>
      </c>
      <c r="G293" s="2" t="b">
        <f>read_series_header_named_2index(C294:E296)</f>
        <v>1</v>
      </c>
      <c r="H293" t="b">
        <f>F293=G293</f>
        <v>1</v>
      </c>
    </row>
    <row r="294" spans="1:13" x14ac:dyDescent="0.35">
      <c r="C294" t="s">
        <v>57</v>
      </c>
      <c r="D294" t="s">
        <v>95</v>
      </c>
      <c r="E294" t="s">
        <v>3</v>
      </c>
    </row>
    <row r="295" spans="1:13" x14ac:dyDescent="0.35">
      <c r="C295" t="s">
        <v>50</v>
      </c>
      <c r="D295">
        <v>10</v>
      </c>
      <c r="E295">
        <v>1</v>
      </c>
    </row>
    <row r="296" spans="1:13" x14ac:dyDescent="0.35">
      <c r="C296" t="s">
        <v>50</v>
      </c>
      <c r="D296">
        <v>20</v>
      </c>
      <c r="E296">
        <v>2</v>
      </c>
    </row>
    <row r="297" spans="1:13" x14ac:dyDescent="0.35">
      <c r="A297" t="b">
        <f>H297</f>
        <v>1</v>
      </c>
      <c r="B297" s="3" t="s">
        <v>96</v>
      </c>
      <c r="C297" s="3"/>
      <c r="F297" s="1" t="b">
        <v>1</v>
      </c>
      <c r="G297" s="2" t="b">
        <f>read_series_noheader_2index(C298:E299)</f>
        <v>1</v>
      </c>
      <c r="H297" t="b">
        <f>F297=G297</f>
        <v>1</v>
      </c>
    </row>
    <row r="298" spans="1:13" x14ac:dyDescent="0.35">
      <c r="C298" t="s">
        <v>50</v>
      </c>
      <c r="D298">
        <v>10</v>
      </c>
      <c r="E298">
        <v>1</v>
      </c>
    </row>
    <row r="299" spans="1:13" x14ac:dyDescent="0.35">
      <c r="C299" t="s">
        <v>50</v>
      </c>
      <c r="D299">
        <v>20</v>
      </c>
      <c r="E299">
        <v>2</v>
      </c>
    </row>
    <row r="301" spans="1:13" x14ac:dyDescent="0.35">
      <c r="A301" t="b">
        <f>AND(K301:M303)</f>
        <v>1</v>
      </c>
      <c r="B301" s="3" t="s">
        <v>97</v>
      </c>
      <c r="C301" s="8"/>
      <c r="D301" s="1"/>
      <c r="E301" s="1"/>
      <c r="F301" s="1" t="s">
        <v>3</v>
      </c>
      <c r="G301" s="11" t="str">
        <f t="array" ref="G301:I303">write_series_header_nameless_2index()</f>
        <v/>
      </c>
      <c r="H301" s="11" t="str">
        <v/>
      </c>
      <c r="I301" s="11" t="str">
        <v>name</v>
      </c>
      <c r="J301" s="8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35">
      <c r="C302" s="9"/>
      <c r="D302" s="1" t="s">
        <v>50</v>
      </c>
      <c r="E302" s="1">
        <v>10</v>
      </c>
      <c r="F302" s="1">
        <v>1</v>
      </c>
      <c r="G302" s="13" t="str">
        <v>a</v>
      </c>
      <c r="H302" s="11">
        <v>10</v>
      </c>
      <c r="I302" s="11">
        <v>1</v>
      </c>
      <c r="J302" s="8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35">
      <c r="C303" s="9"/>
      <c r="D303" s="1" t="s">
        <v>50</v>
      </c>
      <c r="E303" s="1">
        <v>20</v>
      </c>
      <c r="F303" s="1">
        <v>2</v>
      </c>
      <c r="G303" s="13" t="str">
        <v>a</v>
      </c>
      <c r="H303" s="11">
        <v>20</v>
      </c>
      <c r="I303" s="11">
        <v>2</v>
      </c>
      <c r="J303" s="8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35">
      <c r="A305" t="b">
        <f>AND(K305:M307)</f>
        <v>1</v>
      </c>
      <c r="B305" s="3" t="s">
        <v>98</v>
      </c>
      <c r="C305" s="8"/>
      <c r="D305" s="1" t="s">
        <v>57</v>
      </c>
      <c r="E305" s="1" t="s">
        <v>95</v>
      </c>
      <c r="F305" s="1" t="s">
        <v>3</v>
      </c>
      <c r="G305" s="11" t="str">
        <f t="array" ref="G305:I307">write_series_header_named_2index()</f>
        <v>ix1</v>
      </c>
      <c r="H305" s="11" t="str">
        <v>ix2</v>
      </c>
      <c r="I305" s="11" t="str">
        <v>name</v>
      </c>
      <c r="J305" s="8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35">
      <c r="C306" s="9"/>
      <c r="D306" s="1" t="s">
        <v>50</v>
      </c>
      <c r="E306" s="1">
        <v>10</v>
      </c>
      <c r="F306" s="1">
        <v>1</v>
      </c>
      <c r="G306" s="13" t="str">
        <v>a</v>
      </c>
      <c r="H306" s="11">
        <v>10</v>
      </c>
      <c r="I306" s="11">
        <v>1</v>
      </c>
      <c r="J306" s="8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35">
      <c r="C307" s="9"/>
      <c r="D307" s="1" t="s">
        <v>50</v>
      </c>
      <c r="E307" s="1">
        <v>20</v>
      </c>
      <c r="F307" s="1">
        <v>2</v>
      </c>
      <c r="G307" s="13" t="str">
        <v>a</v>
      </c>
      <c r="H307" s="11">
        <v>20</v>
      </c>
      <c r="I307" s="11">
        <v>2</v>
      </c>
      <c r="J307" s="8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35">
      <c r="A309" t="b">
        <f>AND(K309:M310)</f>
        <v>1</v>
      </c>
      <c r="B309" s="3" t="s">
        <v>99</v>
      </c>
      <c r="C309" s="8"/>
      <c r="D309" s="1" t="s">
        <v>50</v>
      </c>
      <c r="E309" s="1">
        <v>10</v>
      </c>
      <c r="F309" s="1">
        <v>1</v>
      </c>
      <c r="G309" s="11" t="str">
        <f t="array" ref="G309:I310">write_series_noheader_2index()</f>
        <v>a</v>
      </c>
      <c r="H309" s="11">
        <v>10</v>
      </c>
      <c r="I309" s="11">
        <v>1</v>
      </c>
      <c r="J309" s="8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35">
      <c r="C310" s="9"/>
      <c r="D310" s="1" t="s">
        <v>50</v>
      </c>
      <c r="E310" s="1">
        <v>20</v>
      </c>
      <c r="F310" s="1">
        <v>2</v>
      </c>
      <c r="G310" s="13" t="str">
        <v>a</v>
      </c>
      <c r="H310" s="11">
        <v>20</v>
      </c>
      <c r="I310" s="11">
        <v>2</v>
      </c>
      <c r="J310" s="8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35">
      <c r="A312" t="b">
        <f>IFERROR(AND(K312:K314),FALSE)</f>
        <v>1</v>
      </c>
      <c r="B312" s="3" t="s">
        <v>100</v>
      </c>
      <c r="C312" s="8"/>
      <c r="F312" s="1">
        <v>1</v>
      </c>
      <c r="G312" s="22">
        <f t="array" ref="G312:G314">write_series_nan()</f>
        <v>1</v>
      </c>
      <c r="H312" s="8"/>
      <c r="I312" s="8"/>
      <c r="J312" s="8"/>
      <c r="K312" t="b">
        <f>G312=F312</f>
        <v>1</v>
      </c>
    </row>
    <row r="313" spans="1:13" x14ac:dyDescent="0.35">
      <c r="C313" s="9"/>
      <c r="F313" s="1"/>
      <c r="G313" s="22" t="str">
        <v/>
      </c>
      <c r="H313" s="8"/>
      <c r="I313" s="8"/>
      <c r="J313" s="8"/>
      <c r="K313" t="b">
        <f t="shared" ref="K313:K314" si="59">G313=F313</f>
        <v>1</v>
      </c>
    </row>
    <row r="314" spans="1:13" x14ac:dyDescent="0.35">
      <c r="F314" s="1">
        <v>3</v>
      </c>
      <c r="G314" s="22">
        <v>3</v>
      </c>
      <c r="K314" t="b">
        <f t="shared" si="59"/>
        <v>1</v>
      </c>
    </row>
    <row r="316" spans="1:13" x14ac:dyDescent="0.3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3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3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3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3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3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3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3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3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3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3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9" x14ac:dyDescent="0.3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9" x14ac:dyDescent="0.3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9" x14ac:dyDescent="0.3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9" x14ac:dyDescent="0.3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9" x14ac:dyDescent="0.35">
      <c r="A346" t="b">
        <f>H346</f>
        <v>1</v>
      </c>
      <c r="B346" s="23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9" x14ac:dyDescent="0.35">
      <c r="A348" t="b">
        <f>H348</f>
        <v>1</v>
      </c>
      <c r="B348" s="23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  <row r="350" spans="1:9" x14ac:dyDescent="0.35">
      <c r="A350" t="b">
        <f>I350</f>
        <v>1</v>
      </c>
      <c r="B350" s="23" t="s">
        <v>137</v>
      </c>
      <c r="E350" s="1"/>
      <c r="F350" s="1">
        <v>1</v>
      </c>
      <c r="G350" s="24" t="str" cm="1">
        <f t="array" ref="G350:H351">return_pd_nat()</f>
        <v/>
      </c>
      <c r="H350" s="24">
        <v>1</v>
      </c>
      <c r="I350" t="b">
        <f>AND(E350=G350,F350=H350)</f>
        <v>1</v>
      </c>
    </row>
    <row r="351" spans="1:9" x14ac:dyDescent="0.35">
      <c r="E351" s="1">
        <v>1</v>
      </c>
      <c r="F351" s="1"/>
      <c r="G351" s="24">
        <v>1</v>
      </c>
      <c r="H351" s="24" t="str">
        <v/>
      </c>
    </row>
    <row r="353" spans="1:13" x14ac:dyDescent="0.35">
      <c r="A353" t="b">
        <f>H353</f>
        <v>1</v>
      </c>
      <c r="B353" s="3" t="s">
        <v>139</v>
      </c>
      <c r="E353">
        <v>1</v>
      </c>
      <c r="F353" s="1" t="b">
        <v>1</v>
      </c>
      <c r="G353" s="2" t="b" cm="1">
        <f t="array" ref="G353">cell_caller()</f>
        <v>1</v>
      </c>
      <c r="H353" t="b">
        <f>F353=G353</f>
        <v>1</v>
      </c>
    </row>
    <row r="355" spans="1:13" x14ac:dyDescent="0.35">
      <c r="A355" t="b">
        <f>H355</f>
        <v>1</v>
      </c>
      <c r="B355" s="3" t="s">
        <v>138</v>
      </c>
      <c r="E355" t="s">
        <v>140</v>
      </c>
      <c r="F355" s="1" t="b">
        <v>1</v>
      </c>
      <c r="G355" s="2" t="b" cm="1">
        <f t="array" ref="G355">cell_caller_multiple_args(E355)</f>
        <v>1</v>
      </c>
      <c r="H355" t="b">
        <f>F355=G355</f>
        <v>1</v>
      </c>
    </row>
    <row r="357" spans="1:13" x14ac:dyDescent="0.35">
      <c r="A357" t="b">
        <f>AND(K357:M360)</f>
        <v>1</v>
      </c>
      <c r="B357" s="23" t="s">
        <v>141</v>
      </c>
      <c r="E357" t="s">
        <v>142</v>
      </c>
      <c r="F357" t="s">
        <v>143</v>
      </c>
      <c r="G357" s="2" t="str" cm="1">
        <f t="array" ref="G357:I360">VARARGS_ARG_DECORATOR(E357:F358,E357:F358,E357:F358)</f>
        <v/>
      </c>
      <c r="H357" s="2" t="str">
        <v>one</v>
      </c>
      <c r="I357" s="2" t="str">
        <v>two</v>
      </c>
      <c r="K357" t="b">
        <f>D357=G357</f>
        <v>1</v>
      </c>
      <c r="L357" t="b">
        <f t="shared" ref="L357:M360" si="62">E357=H357</f>
        <v>1</v>
      </c>
      <c r="M357" t="b">
        <f t="shared" si="62"/>
        <v>1</v>
      </c>
    </row>
    <row r="358" spans="1:13" x14ac:dyDescent="0.35">
      <c r="D358">
        <v>0</v>
      </c>
      <c r="E358">
        <v>1</v>
      </c>
      <c r="F358">
        <v>2</v>
      </c>
      <c r="G358" s="2">
        <v>0</v>
      </c>
      <c r="H358" s="2">
        <v>1</v>
      </c>
      <c r="I358" s="2">
        <v>2</v>
      </c>
      <c r="K358" t="b">
        <f t="shared" ref="K358:K360" si="63">D358=G358</f>
        <v>1</v>
      </c>
      <c r="L358" t="b">
        <f t="shared" si="62"/>
        <v>1</v>
      </c>
      <c r="M358" t="b">
        <f t="shared" si="62"/>
        <v>1</v>
      </c>
    </row>
    <row r="359" spans="1:13" x14ac:dyDescent="0.35">
      <c r="D359">
        <v>0</v>
      </c>
      <c r="E359">
        <v>1</v>
      </c>
      <c r="F359">
        <v>2</v>
      </c>
      <c r="G359" s="2">
        <v>0</v>
      </c>
      <c r="H359" s="2">
        <v>1</v>
      </c>
      <c r="I359" s="2">
        <v>2</v>
      </c>
      <c r="K359" t="b">
        <f t="shared" si="63"/>
        <v>1</v>
      </c>
      <c r="L359" t="b">
        <f t="shared" si="62"/>
        <v>1</v>
      </c>
      <c r="M359" t="b">
        <f t="shared" si="62"/>
        <v>1</v>
      </c>
    </row>
    <row r="360" spans="1:13" x14ac:dyDescent="0.35">
      <c r="D360">
        <v>0</v>
      </c>
      <c r="E360">
        <v>1</v>
      </c>
      <c r="F360">
        <v>2</v>
      </c>
      <c r="G360" s="2">
        <v>0</v>
      </c>
      <c r="H360" s="2">
        <v>1</v>
      </c>
      <c r="I360" s="2">
        <v>2</v>
      </c>
      <c r="K360" t="b">
        <f t="shared" si="63"/>
        <v>1</v>
      </c>
      <c r="L360" t="b">
        <f t="shared" si="62"/>
        <v>1</v>
      </c>
      <c r="M360" t="b">
        <f t="shared" si="62"/>
        <v>1</v>
      </c>
    </row>
  </sheetData>
  <conditionalFormatting sqref="A3:A97 A172:A285 A99:A170 A287 A291:A292 A300 A304 A308 A311 A314:A315 A345 A349 A351:A356 A361:A1048576">
    <cfRule type="containsText" dxfId="16" priority="19" operator="containsText" text="FALSE">
      <formula>NOT(ISERROR(SEARCH("FALSE",A3)))</formula>
    </cfRule>
  </conditionalFormatting>
  <conditionalFormatting sqref="B3">
    <cfRule type="cellIs" dxfId="15" priority="18" operator="greaterThan">
      <formula>0</formula>
    </cfRule>
  </conditionalFormatting>
  <conditionalFormatting sqref="A98">
    <cfRule type="containsText" dxfId="14" priority="17" operator="containsText" text="FALSE">
      <formula>NOT(ISERROR(SEARCH("FALSE",A98)))</formula>
    </cfRule>
  </conditionalFormatting>
  <conditionalFormatting sqref="A286">
    <cfRule type="containsText" dxfId="13" priority="16" operator="containsText" text="FALSE">
      <formula>NOT(ISERROR(SEARCH("FALSE",A286)))</formula>
    </cfRule>
  </conditionalFormatting>
  <conditionalFormatting sqref="A288:A290">
    <cfRule type="containsText" dxfId="12" priority="14" operator="containsText" text="FALSE">
      <formula>NOT(ISERROR(SEARCH("FALSE",A288)))</formula>
    </cfRule>
  </conditionalFormatting>
  <conditionalFormatting sqref="A296">
    <cfRule type="containsText" dxfId="11" priority="13" operator="containsText" text="FALSE">
      <formula>NOT(ISERROR(SEARCH("FALSE",A296)))</formula>
    </cfRule>
  </conditionalFormatting>
  <conditionalFormatting sqref="A293:A295">
    <cfRule type="containsText" dxfId="10" priority="12" operator="containsText" text="FALSE">
      <formula>NOT(ISERROR(SEARCH("FALSE",A293)))</formula>
    </cfRule>
  </conditionalFormatting>
  <conditionalFormatting sqref="A297:A299">
    <cfRule type="containsText" dxfId="9" priority="11" operator="containsText" text="FALSE">
      <formula>NOT(ISERROR(SEARCH("FALSE",A297)))</formula>
    </cfRule>
  </conditionalFormatting>
  <conditionalFormatting sqref="A301:A303">
    <cfRule type="containsText" dxfId="8" priority="10" operator="containsText" text="FALSE">
      <formula>NOT(ISERROR(SEARCH("FALSE",A301)))</formula>
    </cfRule>
  </conditionalFormatting>
  <conditionalFormatting sqref="A305:A307">
    <cfRule type="containsText" dxfId="7" priority="9" operator="containsText" text="FALSE">
      <formula>NOT(ISERROR(SEARCH("FALSE",A305)))</formula>
    </cfRule>
  </conditionalFormatting>
  <conditionalFormatting sqref="A309:A310">
    <cfRule type="containsText" dxfId="6" priority="8" operator="containsText" text="FALSE">
      <formula>NOT(ISERROR(SEARCH("FALSE",A309)))</formula>
    </cfRule>
  </conditionalFormatting>
  <conditionalFormatting sqref="A312:A313">
    <cfRule type="containsText" dxfId="5" priority="7" operator="containsText" text="FALSE">
      <formula>NOT(ISERROR(SEARCH("FALSE",A312)))</formula>
    </cfRule>
  </conditionalFormatting>
  <conditionalFormatting sqref="A316:A344">
    <cfRule type="containsText" dxfId="4" priority="6" operator="containsText" text="FALSE">
      <formula>NOT(ISERROR(SEARCH("FALSE",A316)))</formula>
    </cfRule>
  </conditionalFormatting>
  <conditionalFormatting sqref="A346:A348">
    <cfRule type="containsText" dxfId="3" priority="5" operator="containsText" text="FALSE">
      <formula>NOT(ISERROR(SEARCH("FALSE",A346)))</formula>
    </cfRule>
  </conditionalFormatting>
  <conditionalFormatting sqref="A350">
    <cfRule type="containsText" dxfId="2" priority="3" operator="containsText" text="FALSE">
      <formula>NOT(ISERROR(SEARCH("FALSE",A350)))</formula>
    </cfRule>
  </conditionalFormatting>
  <conditionalFormatting sqref="A357:A360">
    <cfRule type="containsErrors" dxfId="1" priority="2">
      <formula>ISERROR(A357)</formula>
    </cfRule>
  </conditionalFormatting>
  <conditionalFormatting sqref="A357:A360">
    <cfRule type="containsText" dxfId="0" priority="1" operator="containsText" text="FALSE">
      <formula>NOT(ISERROR(SEARCH("FALSE",A357)))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defaultRowHeight="15.5" x14ac:dyDescent="0.35"/>
  <sheetData>
    <row r="1" spans="1:1" x14ac:dyDescent="0.35">
      <c r="A1">
        <v>5</v>
      </c>
    </row>
    <row r="3" spans="1:1" x14ac:dyDescent="0.35">
      <c r="A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Main">
                <anchor moveWithCells="1" sizeWithCells="1">
                  <from>
                    <xdr:col>3</xdr:col>
                    <xdr:colOff>177800</xdr:colOff>
                    <xdr:row>1</xdr:row>
                    <xdr:rowOff>190500</xdr:rowOff>
                  </from>
                  <to>
                    <xdr:col>4</xdr:col>
                    <xdr:colOff>241300</xdr:colOff>
                    <xdr:row>3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2024-02-26T14:13:47Z</dcterms:modified>
</cp:coreProperties>
</file>