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312" i="1" l="1"/>
  <c r="G312" i="1" a="1"/>
  <c r="G312" i="1"/>
  <c r="G313" i="1"/>
  <c r="G314" i="1"/>
  <c r="K312" i="1"/>
  <c r="K313" i="1"/>
  <c r="K314" i="1"/>
  <c r="G309" i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G6" i="1"/>
  <c r="G281" i="1"/>
  <c r="H281" i="1"/>
  <c r="H279" i="1"/>
  <c r="A281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B3" i="1"/>
</calcChain>
</file>

<file path=xl/sharedStrings.xml><?xml version="1.0" encoding="utf-8"?>
<sst xmlns="http://schemas.openxmlformats.org/spreadsheetml/2006/main" count="258" uniqueCount="103">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</sst>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  <xf numFmtId="14" fontId="0" fillId="4" borderId="0" xfId="0" applyNumberFormat="1" applyFill="1" applyAlignment="1">
      <alignment horizontal="right"/>
    </xf>
  </cellXfs>
  <cellStyles count="2">
    <cellStyle name="Normal" xfId="0" builtinId="0"/>
    <cellStyle name="Normal 2" xfId="1"/>
  </cellStyles>
  <dxfs count="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4"/>
  <sheetViews>
    <sheetView tabSelected="1" topLeftCell="A272" zoomScale="60" zoomScaleNormal="60" workbookViewId="0">
      <selection activeCell="A313" sqref="A313"/>
    </sheetView>
  </sheetViews>
  <sheetFormatPr defaultColWidth="11" defaultRowHeight="15.75" x14ac:dyDescent="0.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5">
      <c r="A3" s="20" t="s">
        <v>79</v>
      </c>
      <c r="B3" s="26">
        <f>COUNTIF(A:A,FALSE)</f>
        <v>1</v>
      </c>
    </row>
    <row r="6" spans="1:8" x14ac:dyDescent="0.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5">
      <c r="B10" s="4"/>
      <c r="C10" s="4"/>
      <c r="F10" s="4"/>
      <c r="G10" s="4"/>
    </row>
    <row r="11" spans="1:8" x14ac:dyDescent="0.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5">
      <c r="B13" s="4"/>
      <c r="C13" s="4"/>
      <c r="F13" s="4"/>
      <c r="G13" s="4"/>
    </row>
    <row r="14" spans="1:8" x14ac:dyDescent="0.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5">
      <c r="B17" s="4"/>
      <c r="C17" s="4"/>
    </row>
    <row r="18" spans="1:10" x14ac:dyDescent="0.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5">
      <c r="D21" s="5"/>
    </row>
    <row r="22" spans="1:10" x14ac:dyDescent="0.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5">
      <c r="D23" s="5"/>
      <c r="F23" s="5"/>
      <c r="G23" s="5"/>
    </row>
    <row r="24" spans="1:10" x14ac:dyDescent="0.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5">
      <c r="D25" s="5"/>
      <c r="F25" s="5"/>
      <c r="G25" s="5"/>
    </row>
    <row r="26" spans="1:10" x14ac:dyDescent="0.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5">
      <c r="D29" s="4"/>
    </row>
    <row r="30" spans="1:10" x14ac:dyDescent="0.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5">
      <c r="D31" s="4">
        <v>2</v>
      </c>
      <c r="F31" s="4"/>
      <c r="G31" s="4"/>
    </row>
    <row r="33" spans="1:10" x14ac:dyDescent="0.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5"/>
    <row r="36" spans="1:10" s="4" customFormat="1" x14ac:dyDescent="0.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5">
      <c r="D37" s="4">
        <v>3</v>
      </c>
      <c r="E37" s="4">
        <v>4</v>
      </c>
    </row>
    <row r="38" spans="1:10" s="4" customFormat="1" x14ac:dyDescent="0.5"/>
    <row r="39" spans="1:10" s="4" customFormat="1" x14ac:dyDescent="0.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5"/>
    <row r="42" spans="1:10" x14ac:dyDescent="0.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5">
      <c r="D47">
        <v>3</v>
      </c>
      <c r="E47">
        <v>4</v>
      </c>
    </row>
    <row r="49" spans="1:10" x14ac:dyDescent="0.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5">
      <c r="F51" s="4"/>
      <c r="G51" s="4"/>
    </row>
    <row r="52" spans="1:10" x14ac:dyDescent="0.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5">
      <c r="D53" s="9">
        <v>36861</v>
      </c>
      <c r="E53" s="10">
        <v>4</v>
      </c>
    </row>
    <row r="54" spans="1:10" x14ac:dyDescent="0.5">
      <c r="D54" s="9"/>
      <c r="E54" s="10"/>
    </row>
    <row r="55" spans="1:10" x14ac:dyDescent="0.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5">
      <c r="D56" s="9"/>
      <c r="E56" s="10"/>
    </row>
    <row r="58" spans="1:10" x14ac:dyDescent="0.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5">
      <c r="D59" s="9">
        <v>36861</v>
      </c>
      <c r="E59" s="10">
        <v>4</v>
      </c>
    </row>
    <row r="61" spans="1:10" x14ac:dyDescent="0.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5">
      <c r="D62" s="9"/>
      <c r="E62" s="10">
        <v>4</v>
      </c>
    </row>
    <row r="63" spans="1:10" x14ac:dyDescent="0.5">
      <c r="D63" s="9"/>
      <c r="E63" s="10"/>
    </row>
    <row r="64" spans="1:10" x14ac:dyDescent="0.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5">
      <c r="D65" s="12" t="s">
        <v>52</v>
      </c>
      <c r="E65" s="12" t="s">
        <v>53</v>
      </c>
    </row>
    <row r="67" spans="1:10" x14ac:dyDescent="0.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5">
      <c r="D68" s="12" t="s">
        <v>52</v>
      </c>
      <c r="E68" s="12" t="s">
        <v>53</v>
      </c>
    </row>
    <row r="70" spans="1:10" x14ac:dyDescent="0.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b</v>
      </c>
      <c r="H70" s="16" t="str">
        <v>c</v>
      </c>
      <c r="I70" t="b">
        <f>OR(G70=E70,G70=E71)</f>
        <v>1</v>
      </c>
      <c r="J70" t="b">
        <f>OR(H70=F70,H70=F71)</f>
        <v>1</v>
      </c>
    </row>
    <row r="71" spans="1:10" x14ac:dyDescent="0.5">
      <c r="E71" s="15" t="s">
        <v>52</v>
      </c>
      <c r="F71" s="15" t="s">
        <v>53</v>
      </c>
      <c r="G71" s="16" t="str">
        <v>a</v>
      </c>
      <c r="H71" s="16">
        <v>1</v>
      </c>
      <c r="I71" t="b">
        <f>OR(G71=E71,G71=E70)</f>
        <v>1</v>
      </c>
      <c r="J71" t="b">
        <f>OR(H71=F71,F70)</f>
        <v>1</v>
      </c>
    </row>
    <row r="73" spans="1:10" x14ac:dyDescent="0.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5">
      <c r="B74" s="3"/>
      <c r="C74" s="3"/>
      <c r="F74" s="4"/>
      <c r="G74" s="4"/>
    </row>
    <row r="75" spans="1:10" x14ac:dyDescent="0.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5">
      <c r="B76" s="3"/>
      <c r="C76" s="3"/>
    </row>
    <row r="77" spans="1:10" x14ac:dyDescent="0.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5">
      <c r="D80">
        <v>2</v>
      </c>
    </row>
    <row r="82" spans="1:10" x14ac:dyDescent="0.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5">
      <c r="D87">
        <v>3</v>
      </c>
      <c r="E87">
        <v>4</v>
      </c>
    </row>
    <row r="89" spans="1:10" x14ac:dyDescent="0.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5">
      <c r="B97" s="6"/>
      <c r="C97" s="6"/>
    </row>
    <row r="98" spans="1:8" x14ac:dyDescent="0.5">
      <c r="A98" t="b">
        <f>H98</f>
        <v>1</v>
      </c>
      <c r="B98" s="3" t="s">
        <v>93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5">
      <c r="B99" s="6"/>
      <c r="C99" s="6"/>
    </row>
    <row r="100" spans="1:8" x14ac:dyDescent="0.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5">
      <c r="D101">
        <v>2</v>
      </c>
    </row>
    <row r="103" spans="1:8" x14ac:dyDescent="0.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5">
      <c r="D104">
        <v>20</v>
      </c>
      <c r="E104">
        <v>2</v>
      </c>
    </row>
    <row r="106" spans="1:8" x14ac:dyDescent="0.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5">
      <c r="E107">
        <v>1</v>
      </c>
    </row>
    <row r="108" spans="1:8" x14ac:dyDescent="0.5">
      <c r="E108">
        <v>2</v>
      </c>
    </row>
    <row r="110" spans="1:8" x14ac:dyDescent="0.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5">
      <c r="D111">
        <v>10</v>
      </c>
      <c r="E111">
        <v>1</v>
      </c>
    </row>
    <row r="112" spans="1:8" x14ac:dyDescent="0.5">
      <c r="D112">
        <v>20</v>
      </c>
      <c r="E112">
        <v>2</v>
      </c>
    </row>
    <row r="114" spans="1:10" x14ac:dyDescent="0.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5">
      <c r="D115">
        <v>10</v>
      </c>
      <c r="E115">
        <v>1</v>
      </c>
    </row>
    <row r="116" spans="1:10" x14ac:dyDescent="0.5">
      <c r="D116">
        <v>20</v>
      </c>
      <c r="E116">
        <v>2</v>
      </c>
    </row>
    <row r="118" spans="1:10" x14ac:dyDescent="0.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5">
      <c r="F119" s="1">
        <v>2</v>
      </c>
      <c r="G119" s="2">
        <v>2</v>
      </c>
      <c r="H119" t="b">
        <f t="shared" si="0"/>
        <v>1</v>
      </c>
    </row>
    <row r="121" spans="1:10" x14ac:dyDescent="0.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5">
      <c r="F125" s="15">
        <v>1</v>
      </c>
      <c r="G125" s="16">
        <v>1</v>
      </c>
      <c r="H125" t="b">
        <f>F125=G125</f>
        <v>1</v>
      </c>
    </row>
    <row r="126" spans="1:10" x14ac:dyDescent="0.5">
      <c r="F126" s="15">
        <v>2</v>
      </c>
      <c r="G126" s="16">
        <v>2</v>
      </c>
      <c r="H126" t="b">
        <f>F126=G126</f>
        <v>1</v>
      </c>
    </row>
    <row r="128" spans="1:10" x14ac:dyDescent="0.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5">
      <c r="D137" s="9">
        <v>36880</v>
      </c>
      <c r="E137" s="10">
        <v>1.5</v>
      </c>
    </row>
    <row r="138" spans="1:10" x14ac:dyDescent="0.5">
      <c r="D138" s="9">
        <v>36881</v>
      </c>
      <c r="E138" s="10">
        <v>2.5</v>
      </c>
    </row>
    <row r="139" spans="1:10" x14ac:dyDescent="0.5">
      <c r="D139" s="9"/>
      <c r="E139" s="10"/>
    </row>
    <row r="140" spans="1:10" x14ac:dyDescent="0.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5">
      <c r="A144" t="b">
        <f>H144</f>
        <v>1</v>
      </c>
      <c r="B144" s="3" t="s">
        <v>56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5">
      <c r="D145">
        <v>3</v>
      </c>
      <c r="E145">
        <v>4</v>
      </c>
    </row>
    <row r="147" spans="1:10" x14ac:dyDescent="0.5">
      <c r="A147" t="b">
        <f>AND(I147:J148)</f>
        <v>1</v>
      </c>
      <c r="B147" s="3" t="s">
        <v>70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5"/>
    <row r="150" spans="1:10" s="4" customFormat="1" x14ac:dyDescent="0.5">
      <c r="A150" s="4" t="b">
        <f>H150</f>
        <v>1</v>
      </c>
      <c r="B150" s="3" t="s">
        <v>80</v>
      </c>
      <c r="D150" s="13" t="s">
        <v>51</v>
      </c>
      <c r="E150" s="13" t="s">
        <v>52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5">
      <c r="D151" s="12">
        <v>1</v>
      </c>
      <c r="E151" s="12">
        <v>2</v>
      </c>
    </row>
    <row r="152" spans="1:10" s="4" customFormat="1" x14ac:dyDescent="0.5">
      <c r="D152" s="12">
        <v>3</v>
      </c>
      <c r="E152" s="12">
        <v>4</v>
      </c>
    </row>
    <row r="153" spans="1:10" s="4" customFormat="1" x14ac:dyDescent="0.5"/>
    <row r="154" spans="1:10" s="4" customFormat="1" x14ac:dyDescent="0.5">
      <c r="A154" s="4" t="b">
        <f>AND(I154:J156)</f>
        <v>1</v>
      </c>
      <c r="B154" s="3" t="s">
        <v>81</v>
      </c>
      <c r="E154" s="15" t="s">
        <v>51</v>
      </c>
      <c r="F154" s="15" t="s">
        <v>52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5"/>
    <row r="158" spans="1:10" s="4" customFormat="1" x14ac:dyDescent="0.5">
      <c r="A158" s="4" t="b">
        <f>H158</f>
        <v>1</v>
      </c>
      <c r="B158" s="3" t="s">
        <v>82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5">
      <c r="C159" s="4">
        <v>20</v>
      </c>
      <c r="D159" s="12">
        <v>3</v>
      </c>
      <c r="E159" s="12">
        <v>4</v>
      </c>
    </row>
    <row r="160" spans="1:10" s="4" customFormat="1" x14ac:dyDescent="0.5"/>
    <row r="161" spans="1:16" s="4" customFormat="1" x14ac:dyDescent="0.5">
      <c r="A161" s="4" t="b">
        <f>AND(J161:L162)</f>
        <v>1</v>
      </c>
      <c r="B161" s="3" t="s">
        <v>83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5">
      <c r="E163" s="13"/>
      <c r="F163" s="13"/>
      <c r="H163" s="13"/>
      <c r="I163" s="13"/>
    </row>
    <row r="164" spans="1:16" s="4" customFormat="1" x14ac:dyDescent="0.5">
      <c r="A164" s="4" t="b">
        <f>H164</f>
        <v>1</v>
      </c>
      <c r="B164" s="3" t="s">
        <v>86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5">
      <c r="E165" s="13"/>
      <c r="F165" s="13"/>
      <c r="H165" s="13"/>
      <c r="I165" s="13"/>
    </row>
    <row r="166" spans="1:16" s="4" customFormat="1" x14ac:dyDescent="0.5">
      <c r="B166" s="27" t="s">
        <v>51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5">
      <c r="B167" s="27" t="s">
        <v>51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5">
      <c r="B168" s="27" t="s">
        <v>52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5">
      <c r="B169" s="27"/>
      <c r="C169" s="27"/>
      <c r="D169" s="13"/>
      <c r="E169" s="13"/>
      <c r="F169" s="13"/>
      <c r="H169" s="13"/>
      <c r="I169" s="13"/>
    </row>
    <row r="170" spans="1:16" s="4" customFormat="1" x14ac:dyDescent="0.5">
      <c r="A170" s="4" t="b">
        <f>AND(L171:P173)</f>
        <v>1</v>
      </c>
      <c r="B170" s="3" t="s">
        <v>87</v>
      </c>
      <c r="C170" s="27"/>
      <c r="D170" s="13"/>
      <c r="E170" s="13"/>
      <c r="F170" s="13"/>
      <c r="H170" s="13"/>
      <c r="I170" s="13"/>
    </row>
    <row r="171" spans="1:16" s="4" customFormat="1" x14ac:dyDescent="0.5">
      <c r="B171" s="28" t="s">
        <v>51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5">
      <c r="B172" s="28" t="s">
        <v>51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5">
      <c r="B173" s="28" t="s">
        <v>52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5">
      <c r="B174" s="27"/>
      <c r="C174" s="27"/>
      <c r="D174" s="13"/>
      <c r="E174" s="13"/>
      <c r="F174" s="13"/>
      <c r="H174" s="13"/>
      <c r="I174" s="13"/>
    </row>
    <row r="175" spans="1:16" x14ac:dyDescent="0.5">
      <c r="A175" t="b">
        <f>H175</f>
        <v>1</v>
      </c>
      <c r="B175" s="3" t="s">
        <v>57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5">
      <c r="B176" s="12" t="s">
        <v>59</v>
      </c>
      <c r="C176" s="12" t="s">
        <v>53</v>
      </c>
      <c r="D176" s="12" t="s">
        <v>58</v>
      </c>
      <c r="E176" s="12" t="s">
        <v>53</v>
      </c>
    </row>
    <row r="177" spans="1:14" x14ac:dyDescent="0.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5">
      <c r="B179" s="12"/>
      <c r="C179" s="12"/>
      <c r="D179" s="12"/>
      <c r="E179" s="12"/>
    </row>
    <row r="180" spans="1:14" x14ac:dyDescent="0.5">
      <c r="A180" t="b">
        <f>AND(K180:N182)</f>
        <v>1</v>
      </c>
      <c r="B180" s="3" t="s">
        <v>71</v>
      </c>
      <c r="C180" s="15" t="s">
        <v>59</v>
      </c>
      <c r="D180" s="15" t="s">
        <v>53</v>
      </c>
      <c r="E180" s="15" t="s">
        <v>58</v>
      </c>
      <c r="F180" s="15" t="s">
        <v>53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5">
      <c r="B183" s="12"/>
    </row>
    <row r="184" spans="1:14" x14ac:dyDescent="0.5">
      <c r="A184" t="b">
        <f>H184</f>
        <v>1</v>
      </c>
      <c r="B184" s="3" t="s">
        <v>60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5">
      <c r="B185" s="12"/>
      <c r="C185" s="12" t="s">
        <v>53</v>
      </c>
      <c r="D185" s="12" t="s">
        <v>58</v>
      </c>
      <c r="E185" s="12" t="s">
        <v>53</v>
      </c>
    </row>
    <row r="186" spans="1:14" x14ac:dyDescent="0.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5">
      <c r="B188" s="12"/>
      <c r="C188" s="12"/>
      <c r="D188" s="12"/>
      <c r="E188" s="12"/>
    </row>
    <row r="189" spans="1:14" x14ac:dyDescent="0.5">
      <c r="A189" t="b">
        <f>AND(K189:N191)</f>
        <v>1</v>
      </c>
      <c r="B189" s="3" t="s">
        <v>72</v>
      </c>
      <c r="C189" s="15"/>
      <c r="D189" s="15" t="s">
        <v>53</v>
      </c>
      <c r="E189" s="15" t="s">
        <v>58</v>
      </c>
      <c r="F189" s="15" t="s">
        <v>53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5">
      <c r="A193" s="4" t="b">
        <f>H193</f>
        <v>1</v>
      </c>
      <c r="B193" s="3" t="s">
        <v>84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5">
      <c r="B194" s="6"/>
      <c r="C194" s="13" t="s">
        <v>51</v>
      </c>
      <c r="D194" s="13" t="s">
        <v>51</v>
      </c>
      <c r="E194" s="13" t="s">
        <v>52</v>
      </c>
      <c r="H194" s="13"/>
      <c r="I194" s="13"/>
      <c r="J194" s="13"/>
    </row>
    <row r="195" spans="1:12" s="4" customFormat="1" x14ac:dyDescent="0.5">
      <c r="B195" s="6"/>
      <c r="C195" s="13" t="s">
        <v>53</v>
      </c>
      <c r="D195" s="13" t="s">
        <v>58</v>
      </c>
      <c r="E195" s="13" t="s">
        <v>53</v>
      </c>
      <c r="H195" s="13"/>
      <c r="I195" s="13"/>
      <c r="J195" s="13"/>
    </row>
    <row r="196" spans="1:12" s="4" customFormat="1" x14ac:dyDescent="0.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5">
      <c r="A199" s="4" t="b">
        <f>AND(J199:L202)</f>
        <v>1</v>
      </c>
      <c r="B199" s="3" t="s">
        <v>85</v>
      </c>
      <c r="C199" s="13"/>
      <c r="D199" s="15" t="s">
        <v>51</v>
      </c>
      <c r="E199" s="15" t="s">
        <v>51</v>
      </c>
      <c r="F199" s="15" t="s">
        <v>52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5">
      <c r="B200" s="13"/>
      <c r="C200" s="13"/>
      <c r="D200" s="15" t="s">
        <v>53</v>
      </c>
      <c r="E200" s="15" t="s">
        <v>58</v>
      </c>
      <c r="F200" s="15" t="s">
        <v>53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5">
      <c r="A204" t="b">
        <f>H204</f>
        <v>1</v>
      </c>
      <c r="B204" s="3" t="s">
        <v>61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5">
      <c r="C205" s="12" t="s">
        <v>51</v>
      </c>
      <c r="D205" s="12" t="s">
        <v>51</v>
      </c>
      <c r="E205" s="12" t="s">
        <v>52</v>
      </c>
    </row>
    <row r="206" spans="1:12" x14ac:dyDescent="0.5">
      <c r="B206" s="12" t="s">
        <v>59</v>
      </c>
      <c r="C206" s="12" t="s">
        <v>53</v>
      </c>
      <c r="D206" s="12" t="s">
        <v>58</v>
      </c>
      <c r="E206" s="12" t="s">
        <v>53</v>
      </c>
    </row>
    <row r="207" spans="1:12" x14ac:dyDescent="0.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5">
      <c r="B209" s="12"/>
      <c r="C209" s="12"/>
      <c r="D209" s="12"/>
      <c r="E209" s="12"/>
    </row>
    <row r="210" spans="1:14" x14ac:dyDescent="0.5">
      <c r="A210" t="b">
        <f>AND(K210:N213)</f>
        <v>1</v>
      </c>
      <c r="B210" s="3" t="s">
        <v>69</v>
      </c>
      <c r="C210" s="1"/>
      <c r="D210" s="15" t="s">
        <v>51</v>
      </c>
      <c r="E210" s="15" t="s">
        <v>51</v>
      </c>
      <c r="F210" s="15" t="s">
        <v>52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5">
      <c r="C211" s="15" t="s">
        <v>59</v>
      </c>
      <c r="D211" s="15" t="s">
        <v>53</v>
      </c>
      <c r="E211" s="15" t="s">
        <v>58</v>
      </c>
      <c r="F211" s="15" t="s">
        <v>53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5">
      <c r="A215" t="b">
        <f>H215</f>
        <v>1</v>
      </c>
      <c r="B215" s="3" t="s">
        <v>62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5">
      <c r="C216" s="12" t="s">
        <v>51</v>
      </c>
      <c r="D216" s="12" t="s">
        <v>51</v>
      </c>
      <c r="E216" s="12" t="s">
        <v>52</v>
      </c>
    </row>
    <row r="217" spans="1:14" x14ac:dyDescent="0.5">
      <c r="B217" s="12"/>
      <c r="C217" s="12" t="s">
        <v>53</v>
      </c>
      <c r="D217" s="12" t="s">
        <v>58</v>
      </c>
      <c r="E217" s="12" t="s">
        <v>53</v>
      </c>
    </row>
    <row r="218" spans="1:14" x14ac:dyDescent="0.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5">
      <c r="B220" s="12"/>
      <c r="C220" s="12"/>
      <c r="D220" s="12"/>
      <c r="E220" s="12"/>
    </row>
    <row r="221" spans="1:14" x14ac:dyDescent="0.5">
      <c r="A221" t="b">
        <f>AND(K221:N224)</f>
        <v>1</v>
      </c>
      <c r="B221" s="3" t="s">
        <v>73</v>
      </c>
      <c r="C221" s="1"/>
      <c r="D221" s="15" t="s">
        <v>51</v>
      </c>
      <c r="E221" s="15" t="s">
        <v>51</v>
      </c>
      <c r="F221" s="15" t="s">
        <v>52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5">
      <c r="B222" s="12"/>
      <c r="C222" s="15"/>
      <c r="D222" s="15" t="s">
        <v>53</v>
      </c>
      <c r="E222" s="15" t="s">
        <v>58</v>
      </c>
      <c r="F222" s="15" t="s">
        <v>53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5">
      <c r="A226" t="b">
        <f>H226</f>
        <v>1</v>
      </c>
      <c r="B226" s="3" t="s">
        <v>63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5">
      <c r="B227" s="12"/>
      <c r="C227" s="12"/>
      <c r="D227" s="12" t="s">
        <v>51</v>
      </c>
      <c r="E227" s="12" t="s">
        <v>51</v>
      </c>
      <c r="F227" s="12" t="s">
        <v>52</v>
      </c>
    </row>
    <row r="228" spans="1:16" x14ac:dyDescent="0.5">
      <c r="B228" s="12" t="s">
        <v>64</v>
      </c>
      <c r="C228" s="12" t="s">
        <v>65</v>
      </c>
      <c r="D228" s="12" t="s">
        <v>53</v>
      </c>
      <c r="E228" s="12" t="s">
        <v>58</v>
      </c>
      <c r="F228" s="12" t="s">
        <v>53</v>
      </c>
    </row>
    <row r="229" spans="1:16" x14ac:dyDescent="0.5">
      <c r="B229" s="12" t="s">
        <v>51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5">
      <c r="B230" s="12" t="s">
        <v>51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5">
      <c r="B231" s="12" t="s">
        <v>52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5">
      <c r="B232" s="12"/>
      <c r="C232" s="12"/>
      <c r="D232" s="12"/>
      <c r="E232" s="12"/>
      <c r="F232" s="12"/>
    </row>
    <row r="233" spans="1:16" x14ac:dyDescent="0.5">
      <c r="A233" t="b">
        <f>AND(L234:P238)</f>
        <v>1</v>
      </c>
      <c r="B233" s="3" t="s">
        <v>74</v>
      </c>
      <c r="C233" s="12"/>
      <c r="D233" s="12"/>
      <c r="E233" s="12"/>
      <c r="F233" s="12"/>
    </row>
    <row r="234" spans="1:16" x14ac:dyDescent="0.5">
      <c r="B234" s="15"/>
      <c r="C234" s="15"/>
      <c r="D234" s="15" t="s">
        <v>51</v>
      </c>
      <c r="E234" s="15" t="s">
        <v>51</v>
      </c>
      <c r="F234" s="15" t="s">
        <v>52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5">
      <c r="B235" s="15" t="s">
        <v>64</v>
      </c>
      <c r="C235" s="15" t="s">
        <v>65</v>
      </c>
      <c r="D235" s="15" t="s">
        <v>53</v>
      </c>
      <c r="E235" s="15" t="s">
        <v>58</v>
      </c>
      <c r="F235" s="15" t="s">
        <v>53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5">
      <c r="B236" s="15" t="s">
        <v>51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5">
      <c r="B237" s="15" t="s">
        <v>51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5">
      <c r="B238" s="15" t="s">
        <v>52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5">
      <c r="B239" s="12"/>
      <c r="C239" s="12"/>
      <c r="D239" s="12"/>
      <c r="E239" s="12"/>
      <c r="F239" s="12"/>
    </row>
    <row r="242" spans="1:16" x14ac:dyDescent="0.5">
      <c r="A242" t="b">
        <f>H242</f>
        <v>1</v>
      </c>
      <c r="B242" s="3" t="s">
        <v>66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5">
      <c r="B243" s="12"/>
      <c r="C243" s="12"/>
      <c r="D243" s="12" t="s">
        <v>51</v>
      </c>
      <c r="E243" s="12" t="s">
        <v>51</v>
      </c>
      <c r="F243" s="12" t="s">
        <v>52</v>
      </c>
    </row>
    <row r="244" spans="1:16" x14ac:dyDescent="0.5">
      <c r="B244" s="12"/>
      <c r="C244" s="12"/>
      <c r="D244" s="12" t="s">
        <v>53</v>
      </c>
      <c r="E244" s="12" t="s">
        <v>58</v>
      </c>
      <c r="F244" s="12" t="s">
        <v>53</v>
      </c>
    </row>
    <row r="245" spans="1:16" x14ac:dyDescent="0.5">
      <c r="B245" s="12" t="s">
        <v>51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5">
      <c r="B246" s="12" t="s">
        <v>51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5">
      <c r="B247" s="12" t="s">
        <v>52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5">
      <c r="B248" s="12"/>
      <c r="C248" s="12"/>
      <c r="D248" s="12"/>
      <c r="E248" s="12"/>
      <c r="F248" s="12"/>
    </row>
    <row r="249" spans="1:16" x14ac:dyDescent="0.5">
      <c r="A249" t="b">
        <f>AND(L250:P254)</f>
        <v>1</v>
      </c>
      <c r="B249" s="3" t="s">
        <v>75</v>
      </c>
      <c r="C249" s="12"/>
      <c r="D249" s="12"/>
      <c r="E249" s="12"/>
      <c r="F249" s="12"/>
    </row>
    <row r="250" spans="1:16" x14ac:dyDescent="0.5">
      <c r="B250" s="15"/>
      <c r="C250" s="15"/>
      <c r="D250" s="15" t="s">
        <v>51</v>
      </c>
      <c r="E250" s="15" t="s">
        <v>51</v>
      </c>
      <c r="F250" s="15" t="s">
        <v>52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5">
      <c r="B251" s="15"/>
      <c r="C251" s="15"/>
      <c r="D251" s="15" t="s">
        <v>53</v>
      </c>
      <c r="E251" s="15" t="s">
        <v>58</v>
      </c>
      <c r="F251" s="15" t="s">
        <v>53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5">
      <c r="B252" s="15" t="s">
        <v>51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5">
      <c r="B253" s="15" t="s">
        <v>51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5">
      <c r="B254" s="15" t="s">
        <v>52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5">
      <c r="A256" t="b">
        <f>H256</f>
        <v>1</v>
      </c>
      <c r="B256" s="3" t="s">
        <v>67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5">
      <c r="B257" s="12" t="s">
        <v>64</v>
      </c>
      <c r="C257" s="12" t="s">
        <v>65</v>
      </c>
      <c r="D257" s="12" t="s">
        <v>51</v>
      </c>
      <c r="E257" s="12" t="s">
        <v>58</v>
      </c>
      <c r="F257" s="12" t="s">
        <v>53</v>
      </c>
    </row>
    <row r="258" spans="1:16" x14ac:dyDescent="0.5">
      <c r="B258" s="12" t="s">
        <v>51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5">
      <c r="B259" s="12" t="s">
        <v>51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5">
      <c r="B260" s="12" t="s">
        <v>52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5">
      <c r="B261" s="12"/>
      <c r="C261" s="12"/>
      <c r="D261" s="12"/>
      <c r="E261" s="12"/>
      <c r="F261" s="12"/>
    </row>
    <row r="262" spans="1:16" x14ac:dyDescent="0.5">
      <c r="A262" t="b">
        <f>AND(L263:P266)</f>
        <v>1</v>
      </c>
      <c r="B262" s="3" t="s">
        <v>76</v>
      </c>
    </row>
    <row r="263" spans="1:16" x14ac:dyDescent="0.5">
      <c r="B263" s="15" t="s">
        <v>64</v>
      </c>
      <c r="C263" s="15" t="s">
        <v>65</v>
      </c>
      <c r="D263" s="15" t="s">
        <v>51</v>
      </c>
      <c r="E263" s="15" t="s">
        <v>58</v>
      </c>
      <c r="F263" s="15" t="s">
        <v>53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5">
      <c r="B264" s="15" t="s">
        <v>51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5">
      <c r="B265" s="15" t="s">
        <v>51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5">
      <c r="B266" s="15" t="s">
        <v>52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5">
      <c r="A268" t="b">
        <f>H268</f>
        <v>1</v>
      </c>
      <c r="B268" s="3" t="s">
        <v>68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5">
      <c r="B269" s="12"/>
      <c r="C269" s="12" t="s">
        <v>53</v>
      </c>
      <c r="D269" s="12" t="s">
        <v>58</v>
      </c>
      <c r="E269" s="12" t="s">
        <v>53</v>
      </c>
    </row>
    <row r="270" spans="1:16" x14ac:dyDescent="0.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5">
      <c r="A273" t="b">
        <f>AND(K273:N275)</f>
        <v>1</v>
      </c>
      <c r="B273" s="3" t="s">
        <v>77</v>
      </c>
      <c r="C273" s="15"/>
      <c r="D273" s="15" t="s">
        <v>53</v>
      </c>
      <c r="E273" s="15" t="s">
        <v>58</v>
      </c>
      <c r="F273" s="15" t="s">
        <v>53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5">
      <c r="A277" t="b">
        <f>H277</f>
        <v>1</v>
      </c>
      <c r="B277" s="3" t="s">
        <v>89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5">
      <c r="A279" t="b">
        <f>H279</f>
        <v>1</v>
      </c>
      <c r="B279" s="3" t="s">
        <v>92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5">
      <c r="A281" t="b">
        <f>H281</f>
        <v>1</v>
      </c>
      <c r="B281" s="3" t="s">
        <v>91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5">
      <c r="A283" t="b">
        <f>H283</f>
        <v>1</v>
      </c>
      <c r="B283" s="3" t="s">
        <v>90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5">
      <c r="F284" s="1">
        <v>30</v>
      </c>
      <c r="G284" s="2">
        <f>optional_args(1, 30)</f>
        <v>30</v>
      </c>
    </row>
    <row r="286" spans="1:14" x14ac:dyDescent="0.5">
      <c r="A286" t="b">
        <f>IFERROR(H286,FALSE)</f>
        <v>1</v>
      </c>
      <c r="B286" s="3" t="s">
        <v>94</v>
      </c>
      <c r="F286" s="1"/>
      <c r="G286" s="2" t="str">
        <f>write_none()</f>
        <v/>
      </c>
      <c r="H286" t="b">
        <f>F286=G286</f>
        <v>1</v>
      </c>
    </row>
    <row r="288" spans="1:14" x14ac:dyDescent="0.5">
      <c r="A288" t="b">
        <f>H288</f>
        <v>1</v>
      </c>
      <c r="B288" s="3" t="s">
        <v>95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5">
      <c r="C289" s="4"/>
      <c r="D289" s="4"/>
      <c r="E289" s="4" t="s">
        <v>3</v>
      </c>
      <c r="F289" s="4"/>
      <c r="G289" s="4"/>
      <c r="H289" s="4"/>
      <c r="I289" s="4"/>
    </row>
    <row r="290" spans="1:13" x14ac:dyDescent="0.5">
      <c r="C290" s="4" t="s">
        <v>51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5">
      <c r="C291" s="4" t="s">
        <v>51</v>
      </c>
      <c r="D291" s="4">
        <v>20</v>
      </c>
      <c r="E291" s="4">
        <v>2</v>
      </c>
    </row>
    <row r="293" spans="1:13" x14ac:dyDescent="0.5">
      <c r="A293" t="b">
        <f>H293</f>
        <v>1</v>
      </c>
      <c r="B293" s="3" t="s">
        <v>96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5">
      <c r="C294" t="s">
        <v>59</v>
      </c>
      <c r="D294" t="s">
        <v>97</v>
      </c>
      <c r="E294" t="s">
        <v>3</v>
      </c>
      <c r="F294" s="4"/>
      <c r="G294" s="4"/>
      <c r="H294" s="4"/>
      <c r="I294" s="4"/>
    </row>
    <row r="295" spans="1:13" x14ac:dyDescent="0.5">
      <c r="C295" s="4" t="s">
        <v>51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5">
      <c r="C296" s="4" t="s">
        <v>51</v>
      </c>
      <c r="D296" s="4">
        <v>20</v>
      </c>
      <c r="E296" s="4">
        <v>2</v>
      </c>
    </row>
    <row r="297" spans="1:13" x14ac:dyDescent="0.5">
      <c r="A297" t="b">
        <f>H297</f>
        <v>1</v>
      </c>
      <c r="B297" s="3" t="s">
        <v>98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5">
      <c r="C298" s="4" t="s">
        <v>51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5">
      <c r="C299" s="4" t="s">
        <v>51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5">
      <c r="A301" t="b">
        <f>AND(K301:M303)</f>
        <v>1</v>
      </c>
      <c r="B301" s="3" t="s">
        <v>99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5">
      <c r="C302" s="29"/>
      <c r="D302" s="1" t="s">
        <v>51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5">
      <c r="C303" s="29"/>
      <c r="D303" s="1" t="s">
        <v>51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5">
      <c r="A305" t="b">
        <f>AND(K305:M307)</f>
        <v>1</v>
      </c>
      <c r="B305" s="3" t="s">
        <v>100</v>
      </c>
      <c r="C305" s="13"/>
      <c r="D305" s="1" t="s">
        <v>59</v>
      </c>
      <c r="E305" s="1" t="s">
        <v>97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5">
      <c r="C306" s="29"/>
      <c r="D306" s="1" t="s">
        <v>51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5">
      <c r="C307" s="29"/>
      <c r="D307" s="1" t="s">
        <v>51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5">
      <c r="A309" t="b">
        <f>AND(K309:M310)</f>
        <v>1</v>
      </c>
      <c r="B309" s="3" t="s">
        <v>101</v>
      </c>
      <c r="C309" s="13"/>
      <c r="D309" s="1" t="s">
        <v>51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5">
      <c r="C310" s="29"/>
      <c r="D310" s="1" t="s">
        <v>51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5">
      <c r="A312" t="b">
        <f>IFERROR(AND(K312:K314),FALSE)</f>
        <v>0</v>
      </c>
      <c r="B312" s="3" t="s">
        <v>102</v>
      </c>
      <c r="C312" s="13"/>
      <c r="D312" s="4"/>
      <c r="E312" s="4"/>
      <c r="F312" s="1">
        <v>1</v>
      </c>
      <c r="G312" s="30" t="e">
        <f t="array" ref="G312:G314">write_series_nan()</f>
        <v>#VALUE!</v>
      </c>
      <c r="H312" s="13"/>
      <c r="I312" s="13"/>
      <c r="J312" s="13"/>
      <c r="K312" t="e">
        <f>G312=F312</f>
        <v>#VALUE!</v>
      </c>
    </row>
    <row r="313" spans="1:13" x14ac:dyDescent="0.5">
      <c r="C313" s="29"/>
      <c r="D313" s="4"/>
      <c r="E313" s="4"/>
      <c r="F313" s="1"/>
      <c r="G313" s="31" t="e">
        <v>#VALUE!</v>
      </c>
      <c r="H313" s="13"/>
      <c r="I313" s="13"/>
      <c r="J313" s="13"/>
      <c r="K313" t="e">
        <f t="shared" ref="K313:K314" si="59">G313=F313</f>
        <v>#VALUE!</v>
      </c>
    </row>
    <row r="314" spans="1:13" x14ac:dyDescent="0.5">
      <c r="F314" s="1">
        <v>3</v>
      </c>
      <c r="G314" s="30" t="e">
        <v>#VALUE!</v>
      </c>
      <c r="K314" t="e">
        <f t="shared" si="59"/>
        <v>#VALUE!</v>
      </c>
    </row>
  </sheetData>
  <conditionalFormatting sqref="A3:A97 A172:A285 A99:A170 A287 A291:A292 A300 A304 A308 A311 A314:A1048576">
    <cfRule type="containsText" dxfId="12" priority="13" operator="containsText" text="FALSE">
      <formula>NOT(ISERROR(SEARCH("FALSE",A3)))</formula>
    </cfRule>
  </conditionalFormatting>
  <conditionalFormatting sqref="B3">
    <cfRule type="cellIs" dxfId="11" priority="12" operator="greaterThan">
      <formula>0</formula>
    </cfRule>
  </conditionalFormatting>
  <conditionalFormatting sqref="A98">
    <cfRule type="containsText" dxfId="10" priority="11" operator="containsText" text="FALSE">
      <formula>NOT(ISERROR(SEARCH("FALSE",A98)))</formula>
    </cfRule>
  </conditionalFormatting>
  <conditionalFormatting sqref="A286">
    <cfRule type="containsText" dxfId="9" priority="10" operator="containsText" text="FALSE">
      <formula>NOT(ISERROR(SEARCH("FALSE",A286)))</formula>
    </cfRule>
  </conditionalFormatting>
  <conditionalFormatting sqref="A288:A290">
    <cfRule type="containsText" dxfId="8" priority="8" operator="containsText" text="FALSE">
      <formula>NOT(ISERROR(SEARCH("FALSE",A288)))</formula>
    </cfRule>
  </conditionalFormatting>
  <conditionalFormatting sqref="A296">
    <cfRule type="containsText" dxfId="7" priority="7" operator="containsText" text="FALSE">
      <formula>NOT(ISERROR(SEARCH("FALSE",A296)))</formula>
    </cfRule>
  </conditionalFormatting>
  <conditionalFormatting sqref="A293:A295">
    <cfRule type="containsText" dxfId="6" priority="6" operator="containsText" text="FALSE">
      <formula>NOT(ISERROR(SEARCH("FALSE",A293)))</formula>
    </cfRule>
  </conditionalFormatting>
  <conditionalFormatting sqref="A297:A299">
    <cfRule type="containsText" dxfId="5" priority="5" operator="containsText" text="FALSE">
      <formula>NOT(ISERROR(SEARCH("FALSE",A297)))</formula>
    </cfRule>
  </conditionalFormatting>
  <conditionalFormatting sqref="A301:A303">
    <cfRule type="containsText" dxfId="4" priority="4" operator="containsText" text="FALSE">
      <formula>NOT(ISERROR(SEARCH("FALSE",A301)))</formula>
    </cfRule>
  </conditionalFormatting>
  <conditionalFormatting sqref="A305:A307">
    <cfRule type="containsText" dxfId="3" priority="3" operator="containsText" text="FALSE">
      <formula>NOT(ISERROR(SEARCH("FALSE",A305)))</formula>
    </cfRule>
  </conditionalFormatting>
  <conditionalFormatting sqref="A309:A310">
    <cfRule type="containsText" dxfId="2" priority="2" operator="containsText" text="FALSE">
      <formula>NOT(ISERROR(SEARCH("FALSE",A309)))</formula>
    </cfRule>
  </conditionalFormatting>
  <conditionalFormatting sqref="A312:A313">
    <cfRule type="containsText" dxfId="1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2016-04-21T08:22:47Z</dcterms:modified>
</cp:coreProperties>
</file>