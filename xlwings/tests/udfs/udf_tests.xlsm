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7" i="1" l="1"/>
  <c r="G6" i="1"/>
  <c r="G312" i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G281" i="1"/>
  <c r="H281" i="1"/>
  <c r="H279" i="1"/>
  <c r="A281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<sst xmlns="http://schemas.openxmlformats.org/spreadsheetml/2006/main" count="258" uniqueCount="103">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</sst>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zoomScale="60" zoomScaleNormal="60" workbookViewId="0">
      <selection activeCell="D15" sqref="D15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88</v>
      </c>
    </row>
    <row r="6" spans="1:8" x14ac:dyDescent="0.25">
      <c r="A6" t="b">
        <f>AND(H6:H7)</f>
        <v>0</v>
      </c>
      <c r="B6" s="3" t="s">
        <v>5</v>
      </c>
      <c r="C6" s="3"/>
      <c r="F6" s="1" t="b">
        <v>1</v>
      </c>
      <c r="G6" s="2" t="str">
        <f>read_float(2)</f>
        <v>AttributeError: 'NoneType' object has no attribute 'startswith'
    if name.startswith('.'):
  File "C:\Users\Felix\Anaconda3\envs\xw35\lib\importlib\__init__.py",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"C:\Users\Felix\Anaconda3\envs\xw35\lib\site-packages\win32com\server\policy.py", line 586, in _invokeex_
    return S_OK, -1, self._invokeex_(dispid, lcid, wFlags, args, None, None)
  File "C:\Users\Felix\Anaconda3\envs\xw35\lib\site-packages\win32com\server\policy.py", line 283, in _invoke_
    return self._invoke_(dispid, lcid, wFlags, args)
  File "C:\Users\Felix\Anaconda3\envs\xw35\lib\site-packages\win32com\server\policy.py", line 278, in _Invoke_</v>
      </c>
      <c r="H6" s="4" t="b">
        <f>F6=G6</f>
        <v>0</v>
      </c>
    </row>
    <row r="7" spans="1:8" x14ac:dyDescent="0.25">
      <c r="D7" s="4">
        <v>2</v>
      </c>
      <c r="F7" s="1" t="b">
        <v>1</v>
      </c>
      <c r="G7" s="2" t="str">
        <f>read_float(D7)</f>
        <v>AttributeError: 'NoneType' object has no attribute 'startswith'
    if name.startswith('.'):
  File "C:\Users\Felix\Anaconda3\envs\xw35\lib\importlib\__init__.py",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"C:\Users\Felix\Anaconda3\envs\xw35\lib\site-packages\win32com\server\policy.py", line 586, in _invokeex_
    return S_OK, -1, self._invokeex_(dispid, lcid, wFlags, args, None, None)
  File "C:\Users\Felix\Anaconda3\envs\xw35\lib\site-packages\win32com\server\policy.py", line 283, in _invoke_
    return self._invoke_(dispid, lcid, wFlags, args)
  File "C:\Users\Felix\Anaconda3\envs\xw35\lib\site-packages\win32com\server\policy.py", line 278, in _Invoke_</v>
      </c>
      <c r="H7" s="4" t="b">
        <f>F7=G7</f>
        <v>0</v>
      </c>
    </row>
    <row r="9" spans="1:8" x14ac:dyDescent="0.25">
      <c r="A9" t="b">
        <f>H9</f>
        <v>0</v>
      </c>
      <c r="B9" s="3" t="s">
        <v>6</v>
      </c>
      <c r="C9" s="3"/>
      <c r="F9" s="1">
        <v>2</v>
      </c>
      <c r="G9" s="2" t="str">
        <f>write_float()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9" s="4" t="b">
        <f>F9=G9</f>
        <v>0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0</v>
      </c>
      <c r="B11" s="3" t="s">
        <v>7</v>
      </c>
      <c r="C11" s="3"/>
      <c r="F11" s="1" t="b">
        <v>1</v>
      </c>
      <c r="G11" s="2" t="str">
        <f>read_string("xlwings")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1" s="4" t="b">
        <f>F11=G11</f>
        <v>0</v>
      </c>
    </row>
    <row r="12" spans="1:8" x14ac:dyDescent="0.25">
      <c r="D12" s="13" t="s">
        <v>2</v>
      </c>
      <c r="F12" s="1" t="b">
        <v>1</v>
      </c>
      <c r="G12" s="2" t="str">
        <f>read_string(D12)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2" s="4" t="b">
        <f>F12=G12</f>
        <v>0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0</v>
      </c>
      <c r="B14" s="3" t="s">
        <v>8</v>
      </c>
      <c r="C14" s="3"/>
      <c r="F14" s="1" t="s">
        <v>2</v>
      </c>
      <c r="G14" s="2" t="str">
        <f>write_string()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4" s="4" t="b">
        <f>F14=G14</f>
        <v>0</v>
      </c>
    </row>
    <row r="16" spans="1:8" x14ac:dyDescent="0.25">
      <c r="A16" t="b">
        <f>H16</f>
        <v>0</v>
      </c>
      <c r="B16" s="3" t="s">
        <v>9</v>
      </c>
      <c r="C16" s="3"/>
      <c r="F16" s="1" t="b">
        <v>1</v>
      </c>
      <c r="G16" s="2" t="str">
        <f>read_empty(B17)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6" s="4" t="b">
        <f>F16=G16</f>
        <v>0</v>
      </c>
    </row>
    <row r="17" spans="1:10" x14ac:dyDescent="0.25">
      <c r="B17" s="4"/>
      <c r="C17" s="4"/>
    </row>
    <row r="18" spans="1:10" x14ac:dyDescent="0.25">
      <c r="A18" t="b">
        <f>H18</f>
        <v>0</v>
      </c>
      <c r="B18" s="3" t="s">
        <v>10</v>
      </c>
      <c r="C18" s="3"/>
      <c r="D18" s="5">
        <v>42019</v>
      </c>
      <c r="F18" s="1" t="b">
        <v>1</v>
      </c>
      <c r="G18" s="2" t="str">
        <f>read_date(D18)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8" s="4" t="b">
        <f>F18=G18</f>
        <v>0</v>
      </c>
    </row>
    <row r="20" spans="1:10" x14ac:dyDescent="0.25">
      <c r="A20" t="b">
        <f>H20</f>
        <v>0</v>
      </c>
      <c r="B20" s="3" t="s">
        <v>11</v>
      </c>
      <c r="C20" s="3"/>
      <c r="D20" s="5"/>
      <c r="F20" s="7">
        <v>25568</v>
      </c>
      <c r="G20" s="8" t="str">
        <f>write_date()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0" s="4" t="b">
        <f>F20=G20</f>
        <v>0</v>
      </c>
    </row>
    <row r="21" spans="1:10" x14ac:dyDescent="0.25">
      <c r="D21" s="5"/>
    </row>
    <row r="22" spans="1:10" x14ac:dyDescent="0.25">
      <c r="A22" t="b">
        <f>H22</f>
        <v>0</v>
      </c>
      <c r="B22" s="3" t="s">
        <v>12</v>
      </c>
      <c r="C22" s="3"/>
      <c r="D22" s="11">
        <v>27805.546087962965</v>
      </c>
      <c r="F22" s="1" t="b">
        <v>1</v>
      </c>
      <c r="G22" s="2" t="str">
        <f>read_datetime(D22)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2" s="4" t="b">
        <f>F22=G22</f>
        <v>0</v>
      </c>
    </row>
    <row r="23" spans="1:10" x14ac:dyDescent="0.25">
      <c r="D23" s="5"/>
      <c r="F23" s="5"/>
      <c r="G23" s="5"/>
    </row>
    <row r="24" spans="1:10" x14ac:dyDescent="0.25">
      <c r="A24" t="b">
        <f>H24</f>
        <v>0</v>
      </c>
      <c r="B24" s="3" t="s">
        <v>13</v>
      </c>
      <c r="C24" s="3"/>
      <c r="D24" s="5"/>
      <c r="F24" s="21">
        <v>27805.546099537038</v>
      </c>
      <c r="G24" s="22" t="str">
        <f>write_datetime()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4" s="4" t="b">
        <f>F24=G24</f>
        <v>0</v>
      </c>
    </row>
    <row r="25" spans="1:10" x14ac:dyDescent="0.25">
      <c r="D25" s="5"/>
      <c r="F25" s="5"/>
      <c r="G25" s="5"/>
    </row>
    <row r="26" spans="1:10" x14ac:dyDescent="0.25">
      <c r="A26" t="b">
        <f>H26</f>
        <v>0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str">
        <f>read_horizontal_list(D26:E26)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6" s="4" t="b">
        <f>F26=G26</f>
        <v>0</v>
      </c>
    </row>
    <row r="28" spans="1:10" x14ac:dyDescent="0.25">
      <c r="A28" t="b">
        <f>AND(I28:J28)</f>
        <v>0</v>
      </c>
      <c r="B28" s="3" t="s">
        <v>15</v>
      </c>
      <c r="C28" s="3"/>
      <c r="E28" s="1">
        <v>1</v>
      </c>
      <c r="F28" s="1">
        <v>2</v>
      </c>
      <c r="G28" s="2" t="str">
        <f t="array" ref="G28:H28">write_horizontal_list()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8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8" t="b">
        <f>E28=G28</f>
        <v>0</v>
      </c>
      <c r="J28" t="b">
        <f>F28=H28</f>
        <v>0</v>
      </c>
    </row>
    <row r="29" spans="1:10" x14ac:dyDescent="0.25">
      <c r="D29" s="4"/>
    </row>
    <row r="30" spans="1:10" x14ac:dyDescent="0.25">
      <c r="A30" t="b">
        <f>H30</f>
        <v>0</v>
      </c>
      <c r="B30" s="3" t="s">
        <v>16</v>
      </c>
      <c r="C30" s="3"/>
      <c r="D30" s="4">
        <v>1</v>
      </c>
      <c r="F30" s="1" t="b">
        <v>1</v>
      </c>
      <c r="G30" s="2" t="str">
        <f>read_vertical_list(D30:D31)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0" t="b">
        <f>G30=F30</f>
        <v>0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0</v>
      </c>
      <c r="B33" s="6" t="s">
        <v>17</v>
      </c>
      <c r="C33" s="6"/>
      <c r="F33" s="1">
        <v>1</v>
      </c>
      <c r="G33" s="2" t="str">
        <f t="array" ref="G33:G34">write_vertical_list()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3" t="b">
        <f>G33=F33</f>
        <v>0</v>
      </c>
    </row>
    <row r="34" spans="1:10" x14ac:dyDescent="0.25">
      <c r="B34" s="4"/>
      <c r="C34" s="4"/>
      <c r="F34" s="1">
        <v>2</v>
      </c>
      <c r="G34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4" t="b">
        <f>G34=F34</f>
        <v>0</v>
      </c>
    </row>
    <row r="35" spans="1:10" s="4" customFormat="1" x14ac:dyDescent="0.25"/>
    <row r="36" spans="1:10" s="4" customFormat="1" x14ac:dyDescent="0.25">
      <c r="A36" s="4" t="b">
        <f>H36</f>
        <v>0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str">
        <f>read_2dlist(D36:E37)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6" s="4" t="b">
        <f>G36=F36</f>
        <v>0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0</v>
      </c>
      <c r="B39" s="6" t="s">
        <v>19</v>
      </c>
      <c r="C39" s="6"/>
      <c r="E39" s="1">
        <v>1</v>
      </c>
      <c r="F39" s="1">
        <v>2</v>
      </c>
      <c r="G39" s="2" t="str">
        <f t="array" ref="G39:H40">write_2dlist()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9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9" s="4" t="b">
        <f>G39=E39</f>
        <v>0</v>
      </c>
      <c r="J39" s="4" t="b">
        <f>H39=F39</f>
        <v>0</v>
      </c>
    </row>
    <row r="40" spans="1:10" s="4" customFormat="1" x14ac:dyDescent="0.25">
      <c r="E40" s="1">
        <v>3</v>
      </c>
      <c r="F40" s="1">
        <v>4</v>
      </c>
      <c r="G40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40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40" s="4" t="b">
        <f>G40=E40</f>
        <v>0</v>
      </c>
      <c r="J40" s="4" t="b">
        <f>H40=F40</f>
        <v>0</v>
      </c>
    </row>
    <row r="41" spans="1:10" s="4" customFormat="1" x14ac:dyDescent="0.25"/>
    <row r="42" spans="1:10" x14ac:dyDescent="0.25">
      <c r="A42" t="b">
        <f>H42</f>
        <v>0</v>
      </c>
      <c r="B42" s="3" t="s">
        <v>20</v>
      </c>
      <c r="C42" s="3"/>
      <c r="D42">
        <v>2</v>
      </c>
      <c r="F42" s="1" t="b">
        <v>1</v>
      </c>
      <c r="G42" s="2" t="str">
        <f>read_ndim1(D42)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42" t="b">
        <f>G42=F42</f>
        <v>0</v>
      </c>
    </row>
    <row r="44" spans="1:10" x14ac:dyDescent="0.25">
      <c r="A44" t="b">
        <f>H44</f>
        <v>0</v>
      </c>
      <c r="B44" s="3" t="s">
        <v>21</v>
      </c>
      <c r="C44" s="3"/>
      <c r="D44">
        <v>2</v>
      </c>
      <c r="F44" s="1" t="b">
        <v>1</v>
      </c>
      <c r="G44" s="2" t="str">
        <f>read_ndim2(D44)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44" t="b">
        <f>G44=F44</f>
        <v>0</v>
      </c>
    </row>
    <row r="46" spans="1:10" x14ac:dyDescent="0.25">
      <c r="A46" t="b">
        <f>H46</f>
        <v>0</v>
      </c>
      <c r="B46" s="3" t="s">
        <v>22</v>
      </c>
      <c r="C46" s="3"/>
      <c r="D46">
        <v>1</v>
      </c>
      <c r="E46">
        <v>2</v>
      </c>
      <c r="F46" s="1" t="b">
        <v>1</v>
      </c>
      <c r="G46" s="2" t="str">
        <f>read_transpose(D46:E47)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46" t="b">
        <f>G46=F46</f>
        <v>0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0</v>
      </c>
      <c r="B49" s="3" t="s">
        <v>23</v>
      </c>
      <c r="C49" s="3"/>
      <c r="E49" s="1">
        <v>1</v>
      </c>
      <c r="F49" s="1">
        <v>3</v>
      </c>
      <c r="G49" s="2" t="str">
        <f t="array" ref="G49:H50">write_transpose()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49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49" t="b">
        <f>G49=E49</f>
        <v>0</v>
      </c>
      <c r="J49" t="b">
        <f>H49=F49</f>
        <v>0</v>
      </c>
    </row>
    <row r="50" spans="1:10" x14ac:dyDescent="0.25">
      <c r="E50" s="1">
        <v>2</v>
      </c>
      <c r="F50" s="1">
        <v>4</v>
      </c>
      <c r="G50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50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50" t="b">
        <f>G50=E50</f>
        <v>0</v>
      </c>
      <c r="J50" t="b">
        <f>H50=F50</f>
        <v>0</v>
      </c>
    </row>
    <row r="51" spans="1:10" x14ac:dyDescent="0.25">
      <c r="F51" s="4"/>
      <c r="G51" s="4"/>
    </row>
    <row r="52" spans="1:10" x14ac:dyDescent="0.25">
      <c r="A52" t="b">
        <f>H52</f>
        <v>0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str">
        <f>read_dates_as1(D52:E53)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52" t="b">
        <f>G52=F52</f>
        <v>0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0</v>
      </c>
      <c r="B55" s="3" t="s">
        <v>25</v>
      </c>
      <c r="C55" s="3"/>
      <c r="D55" s="9"/>
      <c r="E55" s="11">
        <v>38367.541666666664</v>
      </c>
      <c r="F55" s="1" t="b">
        <v>1</v>
      </c>
      <c r="G55" s="2" t="str">
        <f>read_dates_as2(E55)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55" t="b">
        <f>G55=F55</f>
        <v>0</v>
      </c>
    </row>
    <row r="56" spans="1:10" x14ac:dyDescent="0.25">
      <c r="D56" s="9"/>
      <c r="E56" s="10"/>
    </row>
    <row r="58" spans="1:10" x14ac:dyDescent="0.25">
      <c r="A58" t="b">
        <f>H58</f>
        <v>0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str">
        <f>read_dates_as3(D58:E59)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58" t="b">
        <f>G58=F58</f>
        <v>0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0</v>
      </c>
      <c r="B61" s="3" t="s">
        <v>27</v>
      </c>
      <c r="C61" s="3"/>
      <c r="D61">
        <v>1</v>
      </c>
      <c r="E61" s="9"/>
      <c r="F61" s="1" t="b">
        <v>1</v>
      </c>
      <c r="G61" s="2" t="str">
        <f>read_empty_as(D61:E62)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61" t="b">
        <f>G61=F61</f>
        <v>0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0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str">
        <f>read_dict(D64:E65)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64" t="b">
        <f>G64=F64</f>
        <v>0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0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str">
        <f>read_dict_transpose(D67:E68)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67" t="b">
        <f>G67=F67</f>
        <v>0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0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7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70" t="b">
        <f>OR(G70=E70,G70=E71)</f>
        <v>0</v>
      </c>
      <c r="J70" t="b">
        <f>OR(H70=F70,H70=F71)</f>
        <v>0</v>
      </c>
    </row>
    <row r="71" spans="1:10" x14ac:dyDescent="0.25">
      <c r="E71" s="15" t="s">
        <v>51</v>
      </c>
      <c r="F71" s="15" t="s">
        <v>52</v>
      </c>
      <c r="G7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7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71" t="b">
        <f>OR(G71=E71,G71=E70)</f>
        <v>0</v>
      </c>
      <c r="J71" t="b">
        <f>OR(H71=F71,F70)</f>
        <v>1</v>
      </c>
    </row>
    <row r="73" spans="1:10" x14ac:dyDescent="0.25">
      <c r="A73" t="b">
        <f>H73</f>
        <v>0</v>
      </c>
      <c r="B73" s="3" t="s">
        <v>28</v>
      </c>
      <c r="C73" s="3"/>
      <c r="D73">
        <v>1</v>
      </c>
      <c r="F73" s="1" t="b">
        <v>1</v>
      </c>
      <c r="G73" s="2" t="str">
        <f>read_scalar_nparray(D73)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73" t="b">
        <f>G73=F73</f>
        <v>0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0</v>
      </c>
      <c r="B75" s="3" t="s">
        <v>29</v>
      </c>
      <c r="C75" s="3"/>
      <c r="F75" s="1" t="b">
        <v>1</v>
      </c>
      <c r="G75" s="2" t="str">
        <f>read_empty_nparray(D76)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75" t="b">
        <f>G75=F75</f>
        <v>0</v>
      </c>
    </row>
    <row r="76" spans="1:10" x14ac:dyDescent="0.25">
      <c r="B76" s="3"/>
      <c r="C76" s="3"/>
    </row>
    <row r="77" spans="1:10" x14ac:dyDescent="0.25">
      <c r="A77" t="b">
        <f>H77</f>
        <v>0</v>
      </c>
      <c r="B77" s="3" t="s">
        <v>30</v>
      </c>
      <c r="C77" s="3"/>
      <c r="D77">
        <v>1</v>
      </c>
      <c r="E77">
        <v>2</v>
      </c>
      <c r="F77" s="1" t="b">
        <v>1</v>
      </c>
      <c r="G77" s="2" t="str">
        <f>read_horizontal_nparray(D77:E77)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77" t="b">
        <f>G77=F77</f>
        <v>0</v>
      </c>
    </row>
    <row r="79" spans="1:10" x14ac:dyDescent="0.25">
      <c r="A79" t="b">
        <f>H79</f>
        <v>0</v>
      </c>
      <c r="B79" s="3" t="s">
        <v>31</v>
      </c>
      <c r="C79" s="3"/>
      <c r="D79">
        <v>1</v>
      </c>
      <c r="F79" s="1" t="b">
        <v>1</v>
      </c>
      <c r="G79" s="2" t="str">
        <f>read_vertical_nparray(D79:D80)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79" t="b">
        <f>G79=F79</f>
        <v>0</v>
      </c>
    </row>
    <row r="80" spans="1:10" x14ac:dyDescent="0.25">
      <c r="D80">
        <v>2</v>
      </c>
    </row>
    <row r="82" spans="1:10" x14ac:dyDescent="0.25">
      <c r="A82" t="b">
        <f>H82</f>
        <v>0</v>
      </c>
      <c r="B82" s="3" t="s">
        <v>32</v>
      </c>
      <c r="C82" s="3"/>
      <c r="D82">
        <v>2</v>
      </c>
      <c r="F82" s="1" t="b">
        <v>1</v>
      </c>
      <c r="G82" s="2" t="str">
        <f>read_ndim1_nparray(D82)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82" t="b">
        <f>G82=F82</f>
        <v>0</v>
      </c>
    </row>
    <row r="84" spans="1:10" x14ac:dyDescent="0.25">
      <c r="A84" t="b">
        <f>H84</f>
        <v>0</v>
      </c>
      <c r="B84" s="3" t="s">
        <v>33</v>
      </c>
      <c r="C84" s="3"/>
      <c r="D84">
        <v>2</v>
      </c>
      <c r="F84" s="1" t="b">
        <v>1</v>
      </c>
      <c r="G84" s="2" t="str">
        <f>read_ndim2_nparray(D84)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84" t="b">
        <f>G84=F84</f>
        <v>0</v>
      </c>
    </row>
    <row r="86" spans="1:10" x14ac:dyDescent="0.25">
      <c r="A86" t="b">
        <f>H86</f>
        <v>0</v>
      </c>
      <c r="B86" s="3" t="s">
        <v>34</v>
      </c>
      <c r="C86" s="3"/>
      <c r="D86">
        <v>1</v>
      </c>
      <c r="E86">
        <v>2</v>
      </c>
      <c r="F86" s="1" t="b">
        <v>1</v>
      </c>
      <c r="G86" s="2" t="str">
        <f>read_transpose_nparray(D86:E87)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86" t="b">
        <f>G86=F86</f>
        <v>0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0</v>
      </c>
      <c r="B89" s="3" t="s">
        <v>35</v>
      </c>
      <c r="C89" s="3"/>
      <c r="E89" s="1">
        <v>1</v>
      </c>
      <c r="F89" s="1">
        <v>3</v>
      </c>
      <c r="G89" s="2" t="str">
        <f t="array" ref="G89:H90">write_transpose_nparray()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89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89" t="b">
        <f>G89=E89</f>
        <v>0</v>
      </c>
      <c r="J89" t="b">
        <f>H89=F89</f>
        <v>0</v>
      </c>
    </row>
    <row r="90" spans="1:10" x14ac:dyDescent="0.25">
      <c r="E90" s="1">
        <v>2</v>
      </c>
      <c r="F90" s="1">
        <v>4</v>
      </c>
      <c r="G90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90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90" t="b">
        <f>G90=E90</f>
        <v>0</v>
      </c>
      <c r="J90" t="b">
        <f>H90=F90</f>
        <v>0</v>
      </c>
    </row>
    <row r="92" spans="1:10" x14ac:dyDescent="0.25">
      <c r="A92" t="b">
        <f>H92</f>
        <v>0</v>
      </c>
      <c r="B92" s="3" t="s">
        <v>36</v>
      </c>
      <c r="C92" s="3"/>
      <c r="D92" s="9">
        <v>36880</v>
      </c>
      <c r="F92" s="1" t="b">
        <v>1</v>
      </c>
      <c r="G92" s="2" t="str">
        <f>read_date_nparray(D92)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92" t="b">
        <f>G92=F92</f>
        <v>0</v>
      </c>
    </row>
    <row r="94" spans="1:10" x14ac:dyDescent="0.25">
      <c r="A94" t="b">
        <f>H94</f>
        <v>0</v>
      </c>
      <c r="B94" s="3" t="s">
        <v>37</v>
      </c>
      <c r="C94" s="3"/>
      <c r="D94" s="9">
        <v>36880</v>
      </c>
      <c r="F94" s="1" t="b">
        <v>1</v>
      </c>
      <c r="G94" s="2" t="str">
        <f>read_dates_as_nparray(D94)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94" t="b">
        <f>G94=F94</f>
        <v>0</v>
      </c>
    </row>
    <row r="96" spans="1:10" x14ac:dyDescent="0.25">
      <c r="A96" t="b">
        <f>H96</f>
        <v>0</v>
      </c>
      <c r="B96" s="3" t="s">
        <v>38</v>
      </c>
      <c r="C96" s="3"/>
      <c r="F96" s="1" t="b">
        <v>1</v>
      </c>
      <c r="G96" s="2" t="str">
        <f>read_empty_as_nparray(D96)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96" t="b">
        <f>G96=F96</f>
        <v>0</v>
      </c>
    </row>
    <row r="97" spans="1:8" s="4" customFormat="1" x14ac:dyDescent="0.25">
      <c r="B97" s="6"/>
      <c r="C97" s="6"/>
    </row>
    <row r="98" spans="1:8" x14ac:dyDescent="0.25">
      <c r="A98" t="b">
        <f>H98</f>
        <v>0</v>
      </c>
      <c r="B98" s="3" t="s">
        <v>91</v>
      </c>
      <c r="C98" s="3"/>
      <c r="F98" s="1">
        <v>2</v>
      </c>
      <c r="G98" s="2" t="str">
        <f>write_np_scalar()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98" t="b">
        <f>G98=F98</f>
        <v>0</v>
      </c>
    </row>
    <row r="99" spans="1:8" s="4" customFormat="1" x14ac:dyDescent="0.25">
      <c r="B99" s="6"/>
      <c r="C99" s="6"/>
    </row>
    <row r="100" spans="1:8" x14ac:dyDescent="0.25">
      <c r="A100" t="b">
        <f>H100</f>
        <v>0</v>
      </c>
      <c r="B100" s="3" t="s">
        <v>39</v>
      </c>
      <c r="C100" s="3"/>
      <c r="D100">
        <v>1</v>
      </c>
      <c r="F100" s="1" t="b">
        <v>1</v>
      </c>
      <c r="G100" s="2" t="str">
        <f>read_series_noheader_noindex(D100:D101)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00" t="b">
        <f>G100=F100</f>
        <v>0</v>
      </c>
    </row>
    <row r="101" spans="1:8" x14ac:dyDescent="0.25">
      <c r="D101">
        <v>2</v>
      </c>
    </row>
    <row r="103" spans="1:8" x14ac:dyDescent="0.25">
      <c r="A103" t="b">
        <f>H103</f>
        <v>0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str">
        <f>read_series_noheader_index(D103:E104)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03" t="b">
        <f>G103=F103</f>
        <v>0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0</v>
      </c>
      <c r="B106" s="3" t="s">
        <v>39</v>
      </c>
      <c r="C106" s="3"/>
      <c r="E106" s="12" t="s">
        <v>3</v>
      </c>
      <c r="F106" s="1" t="b">
        <v>1</v>
      </c>
      <c r="G106" s="2" t="str">
        <f>read_series_header_noindex(E106:E108)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06" t="b">
        <f>G106=F106</f>
        <v>0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0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str">
        <f>read_series_header_named_index(D110:E112)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10" t="b">
        <f>G110=F110</f>
        <v>0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0</v>
      </c>
      <c r="B114" s="3" t="s">
        <v>41</v>
      </c>
      <c r="C114" s="3"/>
      <c r="E114" s="12" t="s">
        <v>3</v>
      </c>
      <c r="F114" s="1" t="b">
        <v>1</v>
      </c>
      <c r="G114" s="2" t="str">
        <f>read_series_header_nameless_index(D114:E116)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14" t="b">
        <f>G114=F114</f>
        <v>0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0</v>
      </c>
      <c r="B118" s="3" t="s">
        <v>42</v>
      </c>
      <c r="C118" s="3"/>
      <c r="F118" s="1">
        <v>1</v>
      </c>
      <c r="G118" s="2" t="str">
        <f t="array" ref="G118:G119">write_series_noheader_noindex()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18" t="b">
        <f t="shared" ref="H118:H119" si="0">G118=F118</f>
        <v>0</v>
      </c>
    </row>
    <row r="119" spans="1:10" x14ac:dyDescent="0.25">
      <c r="F119" s="1">
        <v>2</v>
      </c>
      <c r="G119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19" t="b">
        <f t="shared" si="0"/>
        <v>0</v>
      </c>
    </row>
    <row r="121" spans="1:10" x14ac:dyDescent="0.25">
      <c r="A121" t="b">
        <f>AND(I121:J122)</f>
        <v>0</v>
      </c>
      <c r="B121" s="3" t="s">
        <v>43</v>
      </c>
      <c r="C121" s="3"/>
      <c r="E121" s="1">
        <v>10</v>
      </c>
      <c r="F121" s="1">
        <v>1</v>
      </c>
      <c r="G121" s="2" t="str">
        <f t="array" ref="G121:H122">write_series_noheader_index()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21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21" t="b">
        <f>G121=E121</f>
        <v>0</v>
      </c>
      <c r="J121" t="b">
        <f>H121=F121</f>
        <v>0</v>
      </c>
    </row>
    <row r="122" spans="1:10" x14ac:dyDescent="0.25">
      <c r="E122" s="1">
        <v>20</v>
      </c>
      <c r="F122" s="1">
        <v>2</v>
      </c>
      <c r="G122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22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22" t="b">
        <f>G122=E122</f>
        <v>0</v>
      </c>
      <c r="J122" t="b">
        <f>H122=F122</f>
        <v>0</v>
      </c>
    </row>
    <row r="124" spans="1:10" x14ac:dyDescent="0.25">
      <c r="A124" t="b">
        <f>AND(H124:H126)</f>
        <v>0</v>
      </c>
      <c r="B124" s="3" t="s">
        <v>44</v>
      </c>
      <c r="C124" s="3"/>
      <c r="F124" s="15" t="s">
        <v>3</v>
      </c>
      <c r="G124" s="16" t="str">
        <f t="array" ref="G124:G126">write_series_header_noindex()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24" t="b">
        <f>F124=G124</f>
        <v>0</v>
      </c>
    </row>
    <row r="125" spans="1:10" x14ac:dyDescent="0.25">
      <c r="F125" s="15">
        <v>1</v>
      </c>
      <c r="G12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25" t="b">
        <f>F125=G125</f>
        <v>0</v>
      </c>
    </row>
    <row r="126" spans="1:10" x14ac:dyDescent="0.25">
      <c r="F126" s="15">
        <v>2</v>
      </c>
      <c r="G12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26" t="b">
        <f>F126=G126</f>
        <v>0</v>
      </c>
    </row>
    <row r="128" spans="1:10" x14ac:dyDescent="0.25">
      <c r="A128" t="b">
        <f>AND(I128:J130)</f>
        <v>0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28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28" t="b">
        <f>G128=E128</f>
        <v>0</v>
      </c>
      <c r="J128" t="b">
        <f>H128=F128</f>
        <v>0</v>
      </c>
    </row>
    <row r="129" spans="1:10" x14ac:dyDescent="0.25">
      <c r="E129" s="15">
        <v>10</v>
      </c>
      <c r="F129" s="15">
        <v>1</v>
      </c>
      <c r="G12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2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29" t="b">
        <f t="shared" ref="I129:J130" si="1">G129=E129</f>
        <v>0</v>
      </c>
      <c r="J129" t="b">
        <f t="shared" si="1"/>
        <v>0</v>
      </c>
    </row>
    <row r="130" spans="1:10" x14ac:dyDescent="0.25">
      <c r="E130" s="15">
        <v>20</v>
      </c>
      <c r="F130" s="15">
        <v>2</v>
      </c>
      <c r="G13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3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30" t="b">
        <f t="shared" si="1"/>
        <v>0</v>
      </c>
      <c r="J130" t="b">
        <f t="shared" si="1"/>
        <v>0</v>
      </c>
    </row>
    <row r="132" spans="1:10" x14ac:dyDescent="0.25">
      <c r="A132" t="b">
        <f>AND(I132:J134)</f>
        <v>0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32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32" t="b">
        <f>G132=E132</f>
        <v>0</v>
      </c>
      <c r="J132" t="b">
        <f>H132=F132</f>
        <v>0</v>
      </c>
    </row>
    <row r="133" spans="1:10" x14ac:dyDescent="0.25">
      <c r="E133" s="1">
        <v>10</v>
      </c>
      <c r="F133" s="1">
        <v>1</v>
      </c>
      <c r="G133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33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33" t="b">
        <f t="shared" ref="I133:I134" si="2">G133=E133</f>
        <v>0</v>
      </c>
      <c r="J133" t="b">
        <f t="shared" ref="J133:J134" si="3">H133=F133</f>
        <v>0</v>
      </c>
    </row>
    <row r="134" spans="1:10" x14ac:dyDescent="0.25">
      <c r="E134" s="1">
        <v>20</v>
      </c>
      <c r="F134" s="1">
        <v>2</v>
      </c>
      <c r="G134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34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34" t="b">
        <f t="shared" si="2"/>
        <v>0</v>
      </c>
      <c r="J134" t="b">
        <f t="shared" si="3"/>
        <v>0</v>
      </c>
    </row>
    <row r="136" spans="1:10" x14ac:dyDescent="0.25">
      <c r="A136" t="b">
        <f>H136</f>
        <v>0</v>
      </c>
      <c r="B136" s="3" t="s">
        <v>47</v>
      </c>
      <c r="C136" s="3"/>
      <c r="E136" s="12" t="s">
        <v>48</v>
      </c>
      <c r="F136" s="1" t="b">
        <v>1</v>
      </c>
      <c r="G136" s="2" t="str">
        <f>read_timeseries(D136:E138)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36" t="b">
        <f>G136=F136</f>
        <v>0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0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4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40" t="b">
        <f>G140=E140</f>
        <v>0</v>
      </c>
      <c r="J140" t="b">
        <f>H140=F140</f>
        <v>0</v>
      </c>
    </row>
    <row r="141" spans="1:10" x14ac:dyDescent="0.25">
      <c r="E141" s="17">
        <v>36880</v>
      </c>
      <c r="F141" s="19">
        <v>1.5</v>
      </c>
      <c r="G141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4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41" t="b">
        <f t="shared" ref="I141:I142" si="4">G141=E141</f>
        <v>0</v>
      </c>
      <c r="J141" t="b">
        <f t="shared" ref="J141:J142" si="5">H141=F141</f>
        <v>0</v>
      </c>
    </row>
    <row r="142" spans="1:10" x14ac:dyDescent="0.25">
      <c r="E142" s="17">
        <v>36881</v>
      </c>
      <c r="F142" s="19">
        <v>2.5</v>
      </c>
      <c r="G142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4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42" t="b">
        <f t="shared" si="4"/>
        <v>0</v>
      </c>
      <c r="J142" t="b">
        <f t="shared" si="5"/>
        <v>0</v>
      </c>
    </row>
    <row r="144" spans="1:10" x14ac:dyDescent="0.25">
      <c r="A144" t="b">
        <f>H144</f>
        <v>0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str">
        <f>read_df_0header_0index(D144:E145)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44" t="b">
        <f>G144=F144</f>
        <v>0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0</v>
      </c>
      <c r="B147" s="3" t="s">
        <v>68</v>
      </c>
      <c r="C147" s="3"/>
      <c r="E147" s="1">
        <v>1</v>
      </c>
      <c r="F147" s="1">
        <v>2</v>
      </c>
      <c r="G147" s="2" t="str">
        <f t="array" ref="G147:H148">write_df_0header_0index()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47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47" t="b">
        <f>G147=E147</f>
        <v>0</v>
      </c>
      <c r="J147" t="b">
        <f>H147=F147</f>
        <v>0</v>
      </c>
    </row>
    <row r="148" spans="1:10" x14ac:dyDescent="0.25">
      <c r="E148" s="1">
        <v>3</v>
      </c>
      <c r="F148" s="1">
        <v>4</v>
      </c>
      <c r="G148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48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48" t="b">
        <f>G148=E148</f>
        <v>0</v>
      </c>
      <c r="J148" t="b">
        <f>H148=F148</f>
        <v>0</v>
      </c>
    </row>
    <row r="149" spans="1:10" s="4" customFormat="1" x14ac:dyDescent="0.25"/>
    <row r="150" spans="1:10" s="4" customFormat="1" x14ac:dyDescent="0.25">
      <c r="A150" s="4" t="b">
        <f>H150</f>
        <v>0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str">
        <f>read_df_1header_0index(D150:E152)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50" s="4" t="b">
        <f>G150=F150</f>
        <v>0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0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5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54" s="4" t="b">
        <f>E154=G154</f>
        <v>0</v>
      </c>
      <c r="J154" s="4" t="b">
        <f>F154=H154</f>
        <v>0</v>
      </c>
    </row>
    <row r="155" spans="1:10" s="4" customFormat="1" x14ac:dyDescent="0.25">
      <c r="E155" s="15">
        <v>1</v>
      </c>
      <c r="F155" s="15">
        <v>2</v>
      </c>
      <c r="G15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5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55" s="4" t="b">
        <f t="shared" ref="I155:J156" si="6">E155=G155</f>
        <v>0</v>
      </c>
      <c r="J155" s="4" t="b">
        <f t="shared" si="6"/>
        <v>0</v>
      </c>
    </row>
    <row r="156" spans="1:10" s="4" customFormat="1" x14ac:dyDescent="0.25">
      <c r="E156" s="15">
        <v>3</v>
      </c>
      <c r="F156" s="15">
        <v>4</v>
      </c>
      <c r="G15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5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56" s="4" t="b">
        <f t="shared" si="6"/>
        <v>0</v>
      </c>
      <c r="J156" s="4" t="b">
        <f t="shared" si="6"/>
        <v>0</v>
      </c>
    </row>
    <row r="157" spans="1:10" s="4" customFormat="1" x14ac:dyDescent="0.25"/>
    <row r="158" spans="1:10" s="4" customFormat="1" x14ac:dyDescent="0.25">
      <c r="A158" s="4" t="b">
        <f>H158</f>
        <v>0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str">
        <f>read_df_0header_1index(C158:E159)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58" s="4" t="b">
        <f>G158=F158</f>
        <v>0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0</v>
      </c>
      <c r="B161" s="3" t="s">
        <v>81</v>
      </c>
      <c r="D161" s="1">
        <v>10</v>
      </c>
      <c r="E161" s="15">
        <v>1</v>
      </c>
      <c r="F161" s="15">
        <v>2</v>
      </c>
      <c r="G161" s="2" t="str">
        <f t="array" ref="G161:I162">write_df_0header_1index()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6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6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61" s="4" t="b">
        <f>G161=D161</f>
        <v>0</v>
      </c>
      <c r="K161" s="4" t="b">
        <f t="shared" ref="K161:L161" si="7">H161=E161</f>
        <v>0</v>
      </c>
      <c r="L161" s="4" t="b">
        <f t="shared" si="7"/>
        <v>0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6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6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62" s="4" t="b">
        <f>G162=D162</f>
        <v>0</v>
      </c>
      <c r="K162" s="4" t="b">
        <f t="shared" ref="K162" si="8">H162=E162</f>
        <v>0</v>
      </c>
      <c r="L162" s="4" t="b">
        <f t="shared" ref="L162" si="9">I162=F162</f>
        <v>0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0</v>
      </c>
      <c r="B164" s="3" t="s">
        <v>84</v>
      </c>
      <c r="E164" s="13"/>
      <c r="F164" s="1" t="b">
        <v>1</v>
      </c>
      <c r="G164" s="2" t="str">
        <f>read_df_0header_2index(B166:F168)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64" s="4" t="b">
        <f>G164=F164</f>
        <v>0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0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7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7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71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71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171" s="4" t="b">
        <f>B171=G171</f>
        <v>0</v>
      </c>
      <c r="M171" s="4" t="b">
        <f t="shared" ref="M171:P171" si="10">C171=H171</f>
        <v>0</v>
      </c>
      <c r="N171" s="4" t="b">
        <f t="shared" si="10"/>
        <v>0</v>
      </c>
      <c r="O171" s="4" t="b">
        <f t="shared" si="10"/>
        <v>0</v>
      </c>
      <c r="P171" s="4" t="b">
        <f t="shared" si="10"/>
        <v>0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7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7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72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72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172" s="4" t="b">
        <f t="shared" ref="L172:L173" si="11">B172=G172</f>
        <v>0</v>
      </c>
      <c r="M172" s="4" t="b">
        <f t="shared" ref="M172:M173" si="12">C172=H172</f>
        <v>0</v>
      </c>
      <c r="N172" s="4" t="b">
        <f t="shared" ref="N172:N173" si="13">D172=I172</f>
        <v>0</v>
      </c>
      <c r="O172" s="4" t="b">
        <f t="shared" ref="O172:O173" si="14">E172=J172</f>
        <v>0</v>
      </c>
      <c r="P172" s="4" t="b">
        <f t="shared" ref="P172:P173" si="15">F172=K172</f>
        <v>0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7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7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73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73" s="2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173" s="4" t="b">
        <f t="shared" si="11"/>
        <v>0</v>
      </c>
      <c r="M173" s="4" t="b">
        <f t="shared" si="12"/>
        <v>0</v>
      </c>
      <c r="N173" s="4" t="b">
        <f t="shared" si="13"/>
        <v>0</v>
      </c>
      <c r="O173" s="4" t="b">
        <f t="shared" si="14"/>
        <v>0</v>
      </c>
      <c r="P173" s="4" t="b">
        <f t="shared" si="15"/>
        <v>0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0</v>
      </c>
      <c r="B175" s="3" t="s">
        <v>55</v>
      </c>
      <c r="F175" s="1" t="b">
        <v>1</v>
      </c>
      <c r="G175" s="2" t="str">
        <f>read_df_1header_1namedindex(B176:E178)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75" t="b">
        <f>G175=F175</f>
        <v>0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0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8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8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8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80" t="b">
        <f>G180=C180</f>
        <v>0</v>
      </c>
      <c r="L180" t="b">
        <f t="shared" ref="L180:N180" si="16">H180=D180</f>
        <v>0</v>
      </c>
      <c r="M180" t="b">
        <f t="shared" si="16"/>
        <v>0</v>
      </c>
      <c r="N180" t="b">
        <f t="shared" si="16"/>
        <v>0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8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8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8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81" t="b">
        <f t="shared" ref="K181:K182" si="17">G181=C181</f>
        <v>0</v>
      </c>
      <c r="L181" t="b">
        <f t="shared" ref="L181:L182" si="18">H181=D181</f>
        <v>0</v>
      </c>
      <c r="M181" t="b">
        <f t="shared" ref="M181:M182" si="19">I181=E181</f>
        <v>0</v>
      </c>
      <c r="N181" t="b">
        <f t="shared" ref="N181:N182" si="20">J181=F181</f>
        <v>0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8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8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8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82" t="b">
        <f t="shared" si="17"/>
        <v>0</v>
      </c>
      <c r="L182" t="b">
        <f t="shared" si="18"/>
        <v>0</v>
      </c>
      <c r="M182" t="b">
        <f t="shared" si="19"/>
        <v>0</v>
      </c>
      <c r="N182" t="b">
        <f t="shared" si="20"/>
        <v>0</v>
      </c>
    </row>
    <row r="183" spans="1:14" x14ac:dyDescent="0.25">
      <c r="B183" s="12"/>
    </row>
    <row r="184" spans="1:14" x14ac:dyDescent="0.25">
      <c r="A184" t="b">
        <f>H184</f>
        <v>0</v>
      </c>
      <c r="B184" s="3" t="s">
        <v>58</v>
      </c>
      <c r="F184" s="1" t="b">
        <v>1</v>
      </c>
      <c r="G184" s="2" t="str">
        <f>read_df_1header_1unnamedindex(B185:E187)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84" t="b">
        <f>G184=F184</f>
        <v>0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0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8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8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8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89" t="b">
        <f>G189=C189</f>
        <v>0</v>
      </c>
      <c r="L189" t="b">
        <f t="shared" ref="L189:L191" si="21">H189=D189</f>
        <v>0</v>
      </c>
      <c r="M189" t="b">
        <f t="shared" ref="M189:M191" si="22">I189=E189</f>
        <v>0</v>
      </c>
      <c r="N189" t="b">
        <f t="shared" ref="N189:N191" si="23">J189=F189</f>
        <v>0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9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9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9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90" t="b">
        <f t="shared" ref="K190:K191" si="24">G190=C190</f>
        <v>0</v>
      </c>
      <c r="L190" t="b">
        <f t="shared" si="21"/>
        <v>0</v>
      </c>
      <c r="M190" t="b">
        <f t="shared" si="22"/>
        <v>0</v>
      </c>
      <c r="N190" t="b">
        <f t="shared" si="23"/>
        <v>0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9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9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9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191" t="b">
        <f t="shared" si="24"/>
        <v>0</v>
      </c>
      <c r="L191" t="b">
        <f t="shared" si="21"/>
        <v>0</v>
      </c>
      <c r="M191" t="b">
        <f t="shared" si="22"/>
        <v>0</v>
      </c>
      <c r="N191" t="b">
        <f t="shared" si="23"/>
        <v>0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0</v>
      </c>
      <c r="B193" s="3" t="s">
        <v>82</v>
      </c>
      <c r="C193" s="13"/>
      <c r="D193" s="13"/>
      <c r="E193" s="13"/>
      <c r="F193" s="1" t="b">
        <v>1</v>
      </c>
      <c r="G193" s="2" t="str">
        <f t="array" ref="G193">read_df_2header_0index(C194:E197)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93" s="13" t="b">
        <f>F193=G193</f>
        <v>0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0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19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19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199" s="13" t="b">
        <f>D199=G199</f>
        <v>0</v>
      </c>
      <c r="K199" s="13" t="b">
        <f t="shared" ref="K199:L202" si="25">E199=H199</f>
        <v>0</v>
      </c>
      <c r="L199" s="13" t="b">
        <f t="shared" si="25"/>
        <v>0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0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0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00" s="13" t="b">
        <f t="shared" ref="J200:J202" si="26">D200=G200</f>
        <v>0</v>
      </c>
      <c r="K200" s="13" t="b">
        <f t="shared" si="25"/>
        <v>0</v>
      </c>
      <c r="L200" s="13" t="b">
        <f t="shared" si="25"/>
        <v>0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0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0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01" s="13" t="b">
        <f t="shared" si="26"/>
        <v>0</v>
      </c>
      <c r="K201" s="13" t="b">
        <f t="shared" si="25"/>
        <v>0</v>
      </c>
      <c r="L201" s="13" t="b">
        <f t="shared" si="25"/>
        <v>0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0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0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02" s="13" t="b">
        <f t="shared" si="26"/>
        <v>0</v>
      </c>
      <c r="K202" s="13" t="b">
        <f t="shared" si="25"/>
        <v>0</v>
      </c>
      <c r="L202" s="13" t="b">
        <f t="shared" si="25"/>
        <v>0</v>
      </c>
    </row>
    <row r="204" spans="1:12" x14ac:dyDescent="0.25">
      <c r="A204" t="b">
        <f>H204</f>
        <v>0</v>
      </c>
      <c r="B204" s="3" t="s">
        <v>59</v>
      </c>
      <c r="F204" s="1" t="b">
        <v>1</v>
      </c>
      <c r="G204" s="2" t="str">
        <f>read_df_2header_1namedindex(B205:E208)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04" t="b">
        <f>G204=F204</f>
        <v>0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0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1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1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1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10" t="b">
        <f>G210=C210</f>
        <v>0</v>
      </c>
      <c r="L210" t="b">
        <f t="shared" ref="L210:N210" si="27">H210=D210</f>
        <v>0</v>
      </c>
      <c r="M210" t="b">
        <f t="shared" si="27"/>
        <v>0</v>
      </c>
      <c r="N210" t="b">
        <f t="shared" si="27"/>
        <v>0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1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1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1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11" t="b">
        <f t="shared" ref="K211:K213" si="28">G211=C211</f>
        <v>0</v>
      </c>
      <c r="L211" t="b">
        <f t="shared" ref="L211:L213" si="29">H211=D211</f>
        <v>0</v>
      </c>
      <c r="M211" t="b">
        <f t="shared" ref="M211:M213" si="30">I211=E211</f>
        <v>0</v>
      </c>
      <c r="N211" t="b">
        <f t="shared" ref="N211:N213" si="31">J211=F211</f>
        <v>0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1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1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1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12" t="b">
        <f t="shared" si="28"/>
        <v>0</v>
      </c>
      <c r="L212" t="b">
        <f t="shared" si="29"/>
        <v>0</v>
      </c>
      <c r="M212" t="b">
        <f t="shared" si="30"/>
        <v>0</v>
      </c>
      <c r="N212" t="b">
        <f t="shared" si="31"/>
        <v>0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1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1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1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13" t="b">
        <f t="shared" si="28"/>
        <v>0</v>
      </c>
      <c r="L213" t="b">
        <f t="shared" si="29"/>
        <v>0</v>
      </c>
      <c r="M213" t="b">
        <f t="shared" si="30"/>
        <v>0</v>
      </c>
      <c r="N213" t="b">
        <f t="shared" si="31"/>
        <v>0</v>
      </c>
    </row>
    <row r="215" spans="1:14" x14ac:dyDescent="0.25">
      <c r="A215" t="b">
        <f>H215</f>
        <v>0</v>
      </c>
      <c r="B215" s="3" t="s">
        <v>60</v>
      </c>
      <c r="F215" s="1" t="b">
        <v>1</v>
      </c>
      <c r="G215" s="2" t="str">
        <f>read_df_2header_1unnamedindex(B216:E219)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15" t="b">
        <f>G215=F215</f>
        <v>0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0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2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2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2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21" t="b">
        <f>G221=C221</f>
        <v>0</v>
      </c>
      <c r="L221" t="b">
        <f t="shared" ref="L221:L224" si="32">H221=D221</f>
        <v>0</v>
      </c>
      <c r="M221" t="b">
        <f t="shared" ref="M221:M224" si="33">I221=E221</f>
        <v>0</v>
      </c>
      <c r="N221" t="b">
        <f t="shared" ref="N221:N224" si="34">J221=F221</f>
        <v>0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2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2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2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22" t="b">
        <f t="shared" ref="K222:K224" si="35">G222=C222</f>
        <v>0</v>
      </c>
      <c r="L222" t="b">
        <f t="shared" si="32"/>
        <v>0</v>
      </c>
      <c r="M222" t="b">
        <f t="shared" si="33"/>
        <v>0</v>
      </c>
      <c r="N222" t="b">
        <f t="shared" si="34"/>
        <v>0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2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2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2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23" t="b">
        <f t="shared" si="35"/>
        <v>0</v>
      </c>
      <c r="L223" t="b">
        <f t="shared" si="32"/>
        <v>0</v>
      </c>
      <c r="M223" t="b">
        <f t="shared" si="33"/>
        <v>0</v>
      </c>
      <c r="N223" t="b">
        <f t="shared" si="34"/>
        <v>0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2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2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2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24" t="b">
        <f t="shared" si="35"/>
        <v>0</v>
      </c>
      <c r="L224" t="b">
        <f t="shared" si="32"/>
        <v>0</v>
      </c>
      <c r="M224" t="b">
        <f t="shared" si="33"/>
        <v>0</v>
      </c>
      <c r="N224" t="b">
        <f t="shared" si="34"/>
        <v>0</v>
      </c>
    </row>
    <row r="226" spans="1:16" x14ac:dyDescent="0.25">
      <c r="A226" t="b">
        <f>H226</f>
        <v>0</v>
      </c>
      <c r="B226" s="3" t="s">
        <v>61</v>
      </c>
      <c r="F226" s="1" t="b">
        <v>1</v>
      </c>
      <c r="G226" s="2" t="str">
        <f>read_df_2header_2namedindex(B227:F231)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26" t="b">
        <f>G226=F226</f>
        <v>0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0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3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3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3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3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34" t="b">
        <f>G234=B234</f>
        <v>0</v>
      </c>
      <c r="M234" t="b">
        <f t="shared" ref="M234:P234" si="36">H234=C234</f>
        <v>0</v>
      </c>
      <c r="N234" t="b">
        <f t="shared" si="36"/>
        <v>0</v>
      </c>
      <c r="O234" t="b">
        <f t="shared" si="36"/>
        <v>0</v>
      </c>
      <c r="P234" t="b">
        <f t="shared" si="36"/>
        <v>0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3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3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3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3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35" t="b">
        <f t="shared" ref="L235:L238" si="37">G235=B235</f>
        <v>0</v>
      </c>
      <c r="M235" t="b">
        <f t="shared" ref="M235:M238" si="38">H235=C235</f>
        <v>0</v>
      </c>
      <c r="N235" t="b">
        <f t="shared" ref="N235:N238" si="39">I235=D235</f>
        <v>0</v>
      </c>
      <c r="O235" t="b">
        <f t="shared" ref="O235:O238" si="40">J235=E235</f>
        <v>0</v>
      </c>
      <c r="P235" t="b">
        <f t="shared" ref="P235:P238" si="41">K235=F235</f>
        <v>0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3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3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3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3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36" t="b">
        <f t="shared" si="37"/>
        <v>0</v>
      </c>
      <c r="M236" t="b">
        <f t="shared" si="38"/>
        <v>0</v>
      </c>
      <c r="N236" t="b">
        <f t="shared" si="39"/>
        <v>0</v>
      </c>
      <c r="O236" t="b">
        <f t="shared" si="40"/>
        <v>0</v>
      </c>
      <c r="P236" t="b">
        <f t="shared" si="41"/>
        <v>0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37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37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37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37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37" t="b">
        <f t="shared" si="37"/>
        <v>0</v>
      </c>
      <c r="M237" t="b">
        <f t="shared" si="38"/>
        <v>0</v>
      </c>
      <c r="N237" t="b">
        <f t="shared" si="39"/>
        <v>0</v>
      </c>
      <c r="O237" t="b">
        <f t="shared" si="40"/>
        <v>0</v>
      </c>
      <c r="P237" t="b">
        <f t="shared" si="41"/>
        <v>0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38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38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38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38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38" t="b">
        <f t="shared" si="37"/>
        <v>0</v>
      </c>
      <c r="M238" t="b">
        <f t="shared" si="38"/>
        <v>0</v>
      </c>
      <c r="N238" t="b">
        <f t="shared" si="39"/>
        <v>0</v>
      </c>
      <c r="O238" t="b">
        <f t="shared" si="40"/>
        <v>0</v>
      </c>
      <c r="P238" t="b">
        <f t="shared" si="41"/>
        <v>0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0</v>
      </c>
      <c r="B242" s="3" t="s">
        <v>64</v>
      </c>
      <c r="F242" s="1" t="b">
        <v>1</v>
      </c>
      <c r="G242" s="2" t="str">
        <f>read_df_2header_2unnamedindex(B243:F247)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42" t="b">
        <f>G242=F242</f>
        <v>0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0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5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5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5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5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50" t="b">
        <f>G250=B250</f>
        <v>0</v>
      </c>
      <c r="M250" t="b">
        <f t="shared" ref="M250:M254" si="42">H250=C250</f>
        <v>0</v>
      </c>
      <c r="N250" t="b">
        <f t="shared" ref="N250:N254" si="43">I250=D250</f>
        <v>0</v>
      </c>
      <c r="O250" t="b">
        <f t="shared" ref="O250:O254" si="44">J250=E250</f>
        <v>0</v>
      </c>
      <c r="P250" t="b">
        <f t="shared" ref="P250:P254" si="45">K250=F250</f>
        <v>0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5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5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5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5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51" t="b">
        <f t="shared" ref="L251:L254" si="46">G251=B251</f>
        <v>0</v>
      </c>
      <c r="M251" t="b">
        <f t="shared" si="42"/>
        <v>0</v>
      </c>
      <c r="N251" t="b">
        <f t="shared" si="43"/>
        <v>0</v>
      </c>
      <c r="O251" t="b">
        <f t="shared" si="44"/>
        <v>0</v>
      </c>
      <c r="P251" t="b">
        <f t="shared" si="45"/>
        <v>0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5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5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5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5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52" t="b">
        <f t="shared" si="46"/>
        <v>0</v>
      </c>
      <c r="M252" t="b">
        <f t="shared" si="42"/>
        <v>0</v>
      </c>
      <c r="N252" t="b">
        <f t="shared" si="43"/>
        <v>0</v>
      </c>
      <c r="O252" t="b">
        <f t="shared" si="44"/>
        <v>0</v>
      </c>
      <c r="P252" t="b">
        <f t="shared" si="45"/>
        <v>0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5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5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5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5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53" t="b">
        <f t="shared" si="46"/>
        <v>0</v>
      </c>
      <c r="M253" t="b">
        <f t="shared" si="42"/>
        <v>0</v>
      </c>
      <c r="N253" t="b">
        <f t="shared" si="43"/>
        <v>0</v>
      </c>
      <c r="O253" t="b">
        <f t="shared" si="44"/>
        <v>0</v>
      </c>
      <c r="P253" t="b">
        <f t="shared" si="45"/>
        <v>0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5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5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5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5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54" t="b">
        <f t="shared" si="46"/>
        <v>0</v>
      </c>
      <c r="M254" t="b">
        <f t="shared" si="42"/>
        <v>0</v>
      </c>
      <c r="N254" t="b">
        <f t="shared" si="43"/>
        <v>0</v>
      </c>
      <c r="O254" t="b">
        <f t="shared" si="44"/>
        <v>0</v>
      </c>
      <c r="P254" t="b">
        <f t="shared" si="45"/>
        <v>0</v>
      </c>
    </row>
    <row r="256" spans="1:16" x14ac:dyDescent="0.25">
      <c r="A256" t="b">
        <f>H256</f>
        <v>0</v>
      </c>
      <c r="B256" s="3" t="s">
        <v>65</v>
      </c>
      <c r="F256" s="1" t="b">
        <v>1</v>
      </c>
      <c r="G256" s="2" t="str">
        <f>read_df_1header_2namedindex(B257:F260)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56" t="b">
        <f>G256=F256</f>
        <v>0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0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6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6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6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6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63" t="b">
        <f>G263=B263</f>
        <v>0</v>
      </c>
      <c r="M263" t="b">
        <f t="shared" ref="M263:P266" si="47">H263=C263</f>
        <v>0</v>
      </c>
      <c r="N263" t="b">
        <f t="shared" si="47"/>
        <v>0</v>
      </c>
      <c r="O263" t="b">
        <f t="shared" si="47"/>
        <v>0</v>
      </c>
      <c r="P263" t="b">
        <f t="shared" si="47"/>
        <v>0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6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6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6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6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64" t="b">
        <f t="shared" ref="L264:L266" si="48">G264=B264</f>
        <v>0</v>
      </c>
      <c r="M264" t="b">
        <f t="shared" si="47"/>
        <v>0</v>
      </c>
      <c r="N264" t="b">
        <f t="shared" si="47"/>
        <v>0</v>
      </c>
      <c r="O264" t="b">
        <f t="shared" si="47"/>
        <v>0</v>
      </c>
      <c r="P264" t="b">
        <f t="shared" si="47"/>
        <v>0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6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6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6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6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65" t="b">
        <f t="shared" si="48"/>
        <v>0</v>
      </c>
      <c r="M265" t="b">
        <f t="shared" si="47"/>
        <v>0</v>
      </c>
      <c r="N265" t="b">
        <f t="shared" si="47"/>
        <v>0</v>
      </c>
      <c r="O265" t="b">
        <f t="shared" si="47"/>
        <v>0</v>
      </c>
      <c r="P265" t="b">
        <f t="shared" si="47"/>
        <v>0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6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6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6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6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L266" t="b">
        <f t="shared" si="48"/>
        <v>0</v>
      </c>
      <c r="M266" t="b">
        <f t="shared" si="47"/>
        <v>0</v>
      </c>
      <c r="N266" t="b">
        <f t="shared" si="47"/>
        <v>0</v>
      </c>
      <c r="O266" t="b">
        <f t="shared" si="47"/>
        <v>0</v>
      </c>
      <c r="P266" t="b">
        <f t="shared" si="47"/>
        <v>0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0</v>
      </c>
      <c r="B268" s="3" t="s">
        <v>66</v>
      </c>
      <c r="F268" s="1" t="b">
        <v>1</v>
      </c>
      <c r="G268" s="2" t="str">
        <f>read_df_date_index(B269:E271)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68" t="b">
        <f>G268=F268</f>
        <v>0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0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7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7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7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73" t="b">
        <f>G273=C273</f>
        <v>0</v>
      </c>
      <c r="L273" t="b">
        <f t="shared" ref="L273:N275" si="49">H273=D273</f>
        <v>0</v>
      </c>
      <c r="M273" t="b">
        <f t="shared" si="49"/>
        <v>0</v>
      </c>
      <c r="N273" t="b">
        <f t="shared" si="49"/>
        <v>0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7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7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74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74" t="b">
        <f t="shared" ref="K274:K275" si="50">G274=C274</f>
        <v>0</v>
      </c>
      <c r="L274" t="b">
        <f t="shared" si="49"/>
        <v>0</v>
      </c>
      <c r="M274" t="b">
        <f t="shared" si="49"/>
        <v>0</v>
      </c>
      <c r="N274" t="b">
        <f t="shared" si="49"/>
        <v>0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7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27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27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275" t="b">
        <f t="shared" si="50"/>
        <v>0</v>
      </c>
      <c r="L275" t="b">
        <f t="shared" si="49"/>
        <v>0</v>
      </c>
      <c r="M275" t="b">
        <f t="shared" si="49"/>
        <v>0</v>
      </c>
      <c r="N275" t="b">
        <f t="shared" si="49"/>
        <v>0</v>
      </c>
    </row>
    <row r="277" spans="1:14" x14ac:dyDescent="0.25">
      <c r="A277" t="b">
        <f>H277</f>
        <v>0</v>
      </c>
      <c r="B277" s="3" t="s">
        <v>87</v>
      </c>
      <c r="E277">
        <v>1</v>
      </c>
      <c r="F277" s="1" t="b">
        <v>1</v>
      </c>
      <c r="G277" s="2" t="str">
        <f>read_workbook_caller()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77" t="b">
        <f>F277=G277</f>
        <v>0</v>
      </c>
    </row>
    <row r="279" spans="1:14" x14ac:dyDescent="0.25">
      <c r="A279" t="b">
        <f>H279</f>
        <v>0</v>
      </c>
      <c r="B279" s="3" t="s">
        <v>90</v>
      </c>
      <c r="F279" s="1">
        <v>153</v>
      </c>
      <c r="G279" s="2" t="str">
        <f>default_args(2,"bye")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79" t="b">
        <f>F279=G279</f>
        <v>0</v>
      </c>
    </row>
    <row r="281" spans="1:14" x14ac:dyDescent="0.25">
      <c r="A281" t="b">
        <f>H281</f>
        <v>0</v>
      </c>
      <c r="B281" s="3" t="s">
        <v>89</v>
      </c>
      <c r="F281" s="1">
        <v>153</v>
      </c>
      <c r="G281" s="2" t="str">
        <f>variable_args(2, 20, 30, 40)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81" t="b">
        <f>F281=G281</f>
        <v>0</v>
      </c>
    </row>
    <row r="283" spans="1:14" x14ac:dyDescent="0.25">
      <c r="A283" t="b">
        <f>H283</f>
        <v>0</v>
      </c>
      <c r="B283" s="3" t="s">
        <v>88</v>
      </c>
      <c r="F283" s="1">
        <v>20</v>
      </c>
      <c r="G283" s="2" t="str">
        <f>optional_args(2)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83" t="b">
        <f>G283=F283</f>
        <v>0</v>
      </c>
    </row>
    <row r="284" spans="1:14" x14ac:dyDescent="0.25">
      <c r="F284" s="1">
        <v>30</v>
      </c>
      <c r="G284" s="2" t="str">
        <f>optional_args(1, 30)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</row>
    <row r="286" spans="1:14" x14ac:dyDescent="0.25">
      <c r="A286" t="b">
        <f>IFERROR(H286,FALSE)</f>
        <v>0</v>
      </c>
      <c r="B286" s="3" t="s">
        <v>92</v>
      </c>
      <c r="F286" s="1"/>
      <c r="G286" s="2" t="str">
        <f>write_none()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86" t="b">
        <f>F286=G286</f>
        <v>0</v>
      </c>
    </row>
    <row r="288" spans="1:14" x14ac:dyDescent="0.25">
      <c r="A288" t="b">
        <f>H288</f>
        <v>0</v>
      </c>
      <c r="B288" s="3" t="s">
        <v>93</v>
      </c>
      <c r="C288" s="3"/>
      <c r="D288" s="4"/>
      <c r="E288" s="4"/>
      <c r="F288" s="1" t="b">
        <v>1</v>
      </c>
      <c r="G288" s="2" t="str">
        <f>read_series_header_nameless_2index(C289:E291)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88" t="b">
        <f>F288=G288</f>
        <v>0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0</v>
      </c>
      <c r="B293" s="3" t="s">
        <v>94</v>
      </c>
      <c r="C293" s="3"/>
      <c r="D293" s="4"/>
      <c r="E293" s="4"/>
      <c r="F293" s="1" t="b">
        <v>1</v>
      </c>
      <c r="G293" s="2" t="str">
        <f>read_series_header_named_2index(C294:E296)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93" t="b">
        <f>F293=G293</f>
        <v>0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0</v>
      </c>
      <c r="B297" s="3" t="s">
        <v>96</v>
      </c>
      <c r="C297" s="3"/>
      <c r="D297" s="4"/>
      <c r="E297" s="4"/>
      <c r="F297" s="1" t="b">
        <v>1</v>
      </c>
      <c r="G297" s="2" t="str">
        <f>read_series_noheader_2index(C298:E299)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297" t="b">
        <f>F297=G297</f>
        <v>0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0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0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01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301" s="13"/>
      <c r="K301" t="b">
        <f>G301=D301</f>
        <v>0</v>
      </c>
      <c r="L301" t="b">
        <f t="shared" ref="L301:M303" si="51">H301=E301</f>
        <v>0</v>
      </c>
      <c r="M301" t="b">
        <f t="shared" si="51"/>
        <v>0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0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02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302" s="13"/>
      <c r="K302" t="b">
        <f t="shared" ref="K302:K303" si="52">G302=D302</f>
        <v>0</v>
      </c>
      <c r="L302" t="b">
        <f t="shared" si="51"/>
        <v>0</v>
      </c>
      <c r="M302" t="b">
        <f t="shared" si="51"/>
        <v>0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0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03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303" s="13"/>
      <c r="K303" t="b">
        <f t="shared" si="52"/>
        <v>0</v>
      </c>
      <c r="L303" t="b">
        <f t="shared" si="51"/>
        <v>0</v>
      </c>
      <c r="M303" t="b">
        <f t="shared" si="51"/>
        <v>0</v>
      </c>
    </row>
    <row r="305" spans="1:13" x14ac:dyDescent="0.25">
      <c r="A305" t="b">
        <f>AND(K305:M307)</f>
        <v>0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0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05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305" s="13"/>
      <c r="K305" t="b">
        <f>G305=D305</f>
        <v>0</v>
      </c>
      <c r="L305" t="b">
        <f t="shared" ref="L305:L307" si="53">H305=E305</f>
        <v>0</v>
      </c>
      <c r="M305" t="b">
        <f t="shared" ref="M305:M307" si="54">I305=F305</f>
        <v>0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0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06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306" s="13"/>
      <c r="K306" t="b">
        <f t="shared" ref="K306:K307" si="55">G306=D306</f>
        <v>0</v>
      </c>
      <c r="L306" t="b">
        <f t="shared" si="53"/>
        <v>0</v>
      </c>
      <c r="M306" t="b">
        <f t="shared" si="54"/>
        <v>0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07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07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307" s="13"/>
      <c r="K307" t="b">
        <f t="shared" si="55"/>
        <v>0</v>
      </c>
      <c r="L307" t="b">
        <f t="shared" si="53"/>
        <v>0</v>
      </c>
      <c r="M307" t="b">
        <f t="shared" si="54"/>
        <v>0</v>
      </c>
    </row>
    <row r="309" spans="1:13" x14ac:dyDescent="0.25">
      <c r="A309" t="b">
        <f>AND(K309:M310)</f>
        <v>0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0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09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309" s="13"/>
      <c r="K309" t="b">
        <f>G309=D309</f>
        <v>0</v>
      </c>
      <c r="L309" t="b">
        <f t="shared" ref="L309:L310" si="56">H309=E309</f>
        <v>0</v>
      </c>
      <c r="M309" t="b">
        <f t="shared" ref="M309:M310" si="57">I309=F309</f>
        <v>0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1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I310" s="16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J310" s="13"/>
      <c r="K310" t="b">
        <f t="shared" ref="K310" si="58">G310=D310</f>
        <v>0</v>
      </c>
      <c r="L310" t="b">
        <f t="shared" si="56"/>
        <v>0</v>
      </c>
      <c r="M310" t="b">
        <f t="shared" si="57"/>
        <v>0</v>
      </c>
    </row>
    <row r="312" spans="1:13" x14ac:dyDescent="0.25">
      <c r="A312" t="b">
        <f>IFERROR(AND(K312:K314),FALSE)</f>
        <v>0</v>
      </c>
      <c r="B312" s="3" t="s">
        <v>100</v>
      </c>
      <c r="C312" s="13"/>
      <c r="D312" s="4"/>
      <c r="E312" s="4"/>
      <c r="F312" s="1">
        <v>1</v>
      </c>
      <c r="G312" s="30" t="str">
        <f t="array" ref="G312:G314">write_series_nan()</f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12" s="13"/>
      <c r="I312" s="13"/>
      <c r="J312" s="13"/>
      <c r="K312" t="b">
        <f>G312=F312</f>
        <v>0</v>
      </c>
    </row>
    <row r="313" spans="1:13" x14ac:dyDescent="0.25">
      <c r="C313" s="29"/>
      <c r="D313" s="4"/>
      <c r="E313" s="4"/>
      <c r="F313" s="1"/>
      <c r="G313" s="30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H313" s="13"/>
      <c r="I313" s="13"/>
      <c r="J313" s="13"/>
      <c r="K313" t="b">
        <f t="shared" ref="K313:K314" si="59">G313=F313</f>
        <v>0</v>
      </c>
    </row>
    <row r="314" spans="1:13" x14ac:dyDescent="0.25">
      <c r="F314" s="1">
        <v>3</v>
      </c>
      <c r="G314" s="30" t="str">
        <v>AttributeError: 'NoneType' object has no attribute 'startswith'
    if name.startswith('.'):
  File "C:\Users\Felix\Anaconda3\lib\importlib\__init__.py", line 117, in import_module
    module = import_module(module_name)
  File "c:\dev\xlwings\xlwings\udfs.py", line 191, in get_udf_module
    module = get_udf_module(module_name)
  File "c:\dev\xlwings\xlwings\udfs.py", line 204, in call_udf
    res = call_udf(script, fname, args, this_workbook, FromVariant(caller))
  File "c:\dev\xlwings\xlwings\server.py", line 189,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  <c r="K314" t="b">
        <f t="shared" si="59"/>
        <v>0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2016-07-04T17:14:10Z</dcterms:modified>
</cp:coreProperties>
</file>