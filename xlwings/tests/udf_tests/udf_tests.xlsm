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8955" windowHeight="1258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F216" i="1" l="1"/>
  <c r="G210" i="1"/>
  <c r="G203" i="1"/>
  <c r="G195" i="1"/>
  <c r="F189" i="1"/>
  <c r="F183" i="1"/>
  <c r="F178" i="1"/>
  <c r="F173" i="1"/>
  <c r="F170" i="1"/>
  <c r="F81" i="1" a="1"/>
  <c r="F81" i="1"/>
  <c r="G81" i="1"/>
  <c r="F82" i="1"/>
  <c r="G82" i="1"/>
  <c r="F77" i="1"/>
  <c r="F74" i="1"/>
  <c r="F161" i="1"/>
  <c r="F166" i="1" a="1"/>
  <c r="F166" i="1"/>
  <c r="G166" i="1"/>
  <c r="F167" i="1"/>
  <c r="G167" i="1"/>
  <c r="F168" i="1"/>
  <c r="G168" i="1"/>
  <c r="F157" i="1" a="1"/>
  <c r="F157" i="1"/>
  <c r="G157" i="1"/>
  <c r="F158" i="1"/>
  <c r="G158" i="1"/>
  <c r="F159" i="1"/>
  <c r="G159" i="1"/>
  <c r="F152" i="1" a="1"/>
  <c r="F152" i="1"/>
  <c r="G152" i="1"/>
  <c r="F153" i="1"/>
  <c r="G153" i="1"/>
  <c r="F154" i="1"/>
  <c r="G154" i="1"/>
  <c r="F147" i="1" a="1"/>
  <c r="F147" i="1"/>
  <c r="F148" i="1"/>
  <c r="F149" i="1"/>
  <c r="F143" i="1" a="1"/>
  <c r="F143" i="1"/>
  <c r="G143" i="1"/>
  <c r="F144" i="1"/>
  <c r="G144" i="1"/>
  <c r="F139" i="1" a="1"/>
  <c r="F139" i="1"/>
  <c r="F140" i="1"/>
  <c r="F135" i="1"/>
  <c r="F131" i="1"/>
  <c r="F127" i="1"/>
  <c r="F123" i="1"/>
  <c r="F119" i="1"/>
  <c r="F116" i="1"/>
  <c r="F113" i="1"/>
  <c r="F110" i="1"/>
  <c r="F106" i="1" a="1"/>
  <c r="F106" i="1"/>
  <c r="G106" i="1"/>
  <c r="F107" i="1"/>
  <c r="G107" i="1"/>
  <c r="F103" i="1"/>
  <c r="F100" i="1"/>
  <c r="F97" i="1"/>
  <c r="F93" i="1"/>
  <c r="F90" i="1"/>
  <c r="F87" i="1"/>
  <c r="F84" i="1"/>
  <c r="F71" i="1"/>
  <c r="F68" i="1"/>
  <c r="F65" i="1"/>
  <c r="F62" i="1"/>
  <c r="F59" i="1" a="1"/>
  <c r="F59" i="1"/>
  <c r="G59" i="1"/>
  <c r="F60" i="1"/>
  <c r="G60" i="1"/>
  <c r="F56" i="1"/>
  <c r="F53" i="1"/>
  <c r="F50" i="1"/>
  <c r="F46" i="1" a="1"/>
  <c r="F46" i="1"/>
  <c r="G46" i="1"/>
  <c r="F47" i="1"/>
  <c r="G47" i="1"/>
  <c r="F43" i="1"/>
  <c r="F40" i="1" a="1"/>
  <c r="F40" i="1"/>
  <c r="F41" i="1"/>
  <c r="F38" i="1"/>
  <c r="F35" i="1" a="1"/>
  <c r="F35" i="1"/>
  <c r="G35" i="1"/>
  <c r="F32" i="1"/>
  <c r="F29" i="1"/>
  <c r="F27" i="1"/>
  <c r="F25" i="1"/>
  <c r="F22" i="1"/>
  <c r="F19" i="1"/>
  <c r="F16" i="1"/>
  <c r="F13" i="1"/>
  <c r="F12" i="1"/>
  <c r="F9" i="1"/>
  <c r="F6" i="1"/>
  <c r="F5" i="1"/>
</calcChain>
</file>

<file path=xl/sharedStrings.xml><?xml version="1.0" encoding="utf-8"?>
<sst xmlns="http://schemas.openxmlformats.org/spreadsheetml/2006/main" count="132" uniqueCount="69">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</sst>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0" borderId="0" xfId="0" applyFont="1"/>
    <xf numFmtId="0" fontId="0" fillId="0" borderId="0" xfId="0" applyFill="1"/>
    <xf numFmtId="14" fontId="0" fillId="0" borderId="0" xfId="0" applyNumberFormat="1" applyFill="1"/>
    <xf numFmtId="0" fontId="3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22" fontId="1" fillId="2" borderId="0" xfId="1" applyNumberFormat="1" applyFill="1"/>
    <xf numFmtId="22" fontId="1" fillId="3" borderId="0" xfId="1" applyNumberFormat="1" applyFill="1"/>
    <xf numFmtId="0" fontId="0" fillId="2" borderId="0" xfId="0" applyNumberFormat="1" applyFill="1"/>
    <xf numFmtId="0" fontId="0" fillId="0" borderId="0" xfId="0" applyNumberFormat="1" applyFill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219"/>
  <sheetViews>
    <sheetView tabSelected="1" topLeftCell="A193" zoomScale="80" zoomScaleNormal="80" workbookViewId="0">
      <selection activeCell="A222" sqref="A222"/>
    </sheetView>
  </sheetViews>
  <sheetFormatPr defaultColWidth="11" defaultRowHeight="15.75" x14ac:dyDescent="0.25"/>
  <cols>
    <col min="1" max="1" width="39" bestFit="1" customWidth="1"/>
    <col min="2" max="2" width="13.25" customWidth="1"/>
    <col min="3" max="6" width="13.875" bestFit="1" customWidth="1"/>
  </cols>
  <sheetData>
    <row r="1" spans="1:7" x14ac:dyDescent="0.25">
      <c r="E1" s="1" t="s">
        <v>0</v>
      </c>
      <c r="F1" s="2" t="s">
        <v>1</v>
      </c>
    </row>
    <row r="4" spans="1:7" x14ac:dyDescent="0.25">
      <c r="A4" s="4" t="s">
        <v>5</v>
      </c>
      <c r="B4" s="4"/>
    </row>
    <row r="5" spans="1:7" x14ac:dyDescent="0.25">
      <c r="E5" s="1" t="b">
        <v>1</v>
      </c>
      <c r="F5" s="3" t="b">
        <f>read_float(2)</f>
        <v>1</v>
      </c>
      <c r="G5" s="5"/>
    </row>
    <row r="6" spans="1:7" x14ac:dyDescent="0.25">
      <c r="C6" s="5">
        <v>2</v>
      </c>
      <c r="E6" s="1" t="b">
        <v>1</v>
      </c>
      <c r="F6" s="3" t="b">
        <f>read_float(C6)</f>
        <v>1</v>
      </c>
    </row>
    <row r="7" spans="1:7" x14ac:dyDescent="0.25">
      <c r="A7" s="5"/>
      <c r="B7" s="5"/>
      <c r="E7" s="5"/>
      <c r="F7" s="5"/>
    </row>
    <row r="8" spans="1:7" x14ac:dyDescent="0.25">
      <c r="A8" s="4" t="s">
        <v>6</v>
      </c>
      <c r="B8" s="4"/>
      <c r="E8" s="5"/>
      <c r="F8" s="5"/>
    </row>
    <row r="9" spans="1:7" x14ac:dyDescent="0.25">
      <c r="A9" s="5"/>
      <c r="B9" s="5"/>
      <c r="E9" s="1">
        <v>2</v>
      </c>
      <c r="F9" s="3">
        <f>write_float()</f>
        <v>2</v>
      </c>
    </row>
    <row r="10" spans="1:7" x14ac:dyDescent="0.25">
      <c r="A10" s="5"/>
      <c r="B10" s="5"/>
      <c r="E10" s="5"/>
      <c r="F10" s="5"/>
    </row>
    <row r="11" spans="1:7" x14ac:dyDescent="0.25">
      <c r="A11" s="4" t="s">
        <v>7</v>
      </c>
      <c r="B11" s="4"/>
      <c r="E11" s="5"/>
      <c r="F11" s="5"/>
    </row>
    <row r="12" spans="1:7" x14ac:dyDescent="0.25">
      <c r="E12" s="1" t="b">
        <v>1</v>
      </c>
      <c r="F12" s="3" t="b">
        <f>read_string("xlwings")</f>
        <v>1</v>
      </c>
    </row>
    <row r="13" spans="1:7" x14ac:dyDescent="0.25">
      <c r="C13" s="18" t="s">
        <v>2</v>
      </c>
      <c r="E13" s="1" t="b">
        <v>1</v>
      </c>
      <c r="F13" s="3" t="b">
        <f>read_string(C13)</f>
        <v>1</v>
      </c>
    </row>
    <row r="14" spans="1:7" x14ac:dyDescent="0.25">
      <c r="A14" s="5"/>
      <c r="B14" s="5"/>
      <c r="E14" s="5"/>
      <c r="F14" s="5"/>
    </row>
    <row r="15" spans="1:7" x14ac:dyDescent="0.25">
      <c r="A15" s="4" t="s">
        <v>8</v>
      </c>
      <c r="B15" s="4"/>
      <c r="E15" s="5"/>
      <c r="F15" s="5"/>
    </row>
    <row r="16" spans="1:7" x14ac:dyDescent="0.25">
      <c r="E16" s="1" t="s">
        <v>2</v>
      </c>
      <c r="F16" s="3" t="str">
        <f>write_string()</f>
        <v>xlwings</v>
      </c>
    </row>
    <row r="17" spans="1:6" s="5" customFormat="1" x14ac:dyDescent="0.25"/>
    <row r="18" spans="1:6" x14ac:dyDescent="0.25">
      <c r="A18" s="4" t="s">
        <v>9</v>
      </c>
      <c r="B18" s="4"/>
      <c r="E18" s="5"/>
      <c r="F18" s="5"/>
    </row>
    <row r="19" spans="1:6" x14ac:dyDescent="0.25">
      <c r="A19" s="5"/>
      <c r="B19" s="5"/>
      <c r="E19" s="1" t="b">
        <v>1</v>
      </c>
      <c r="F19" s="3" t="b">
        <f>read_empty(A19)</f>
        <v>1</v>
      </c>
    </row>
    <row r="20" spans="1:6" x14ac:dyDescent="0.25">
      <c r="A20" s="5"/>
      <c r="B20" s="5"/>
      <c r="E20" s="5"/>
      <c r="F20" s="5"/>
    </row>
    <row r="21" spans="1:6" x14ac:dyDescent="0.25">
      <c r="A21" s="4" t="s">
        <v>10</v>
      </c>
      <c r="B21" s="4"/>
      <c r="E21" s="5"/>
      <c r="F21" s="5"/>
    </row>
    <row r="22" spans="1:6" x14ac:dyDescent="0.25">
      <c r="C22" s="6">
        <v>42019</v>
      </c>
      <c r="E22" s="1" t="b">
        <v>1</v>
      </c>
      <c r="F22" s="3" t="b">
        <f>read_date(C22)</f>
        <v>1</v>
      </c>
    </row>
    <row r="23" spans="1:6" x14ac:dyDescent="0.25">
      <c r="C23" s="6"/>
      <c r="E23" s="5"/>
      <c r="F23" s="5"/>
    </row>
    <row r="24" spans="1:6" x14ac:dyDescent="0.25">
      <c r="A24" s="4" t="s">
        <v>11</v>
      </c>
      <c r="B24" s="4"/>
      <c r="C24" s="6"/>
    </row>
    <row r="25" spans="1:6" x14ac:dyDescent="0.25">
      <c r="C25" s="6"/>
      <c r="E25" s="8">
        <v>25568</v>
      </c>
      <c r="F25" s="9">
        <f>write_date()</f>
        <v>25568</v>
      </c>
    </row>
    <row r="26" spans="1:6" x14ac:dyDescent="0.25">
      <c r="C26" s="6"/>
      <c r="E26" s="6"/>
      <c r="F26" s="6"/>
    </row>
    <row r="27" spans="1:6" x14ac:dyDescent="0.25">
      <c r="A27" s="4" t="s">
        <v>12</v>
      </c>
      <c r="B27" s="4"/>
      <c r="C27" s="12">
        <v>27805.546087962965</v>
      </c>
      <c r="E27" s="1" t="b">
        <v>1</v>
      </c>
      <c r="F27" s="3" t="b">
        <f>read_datetime(C27)</f>
        <v>1</v>
      </c>
    </row>
    <row r="28" spans="1:6" x14ac:dyDescent="0.25">
      <c r="C28" s="6"/>
      <c r="E28" s="6"/>
      <c r="F28" s="6"/>
    </row>
    <row r="29" spans="1:6" x14ac:dyDescent="0.25">
      <c r="A29" s="4" t="s">
        <v>13</v>
      </c>
      <c r="B29" s="4"/>
      <c r="C29" s="6"/>
      <c r="E29" s="13">
        <v>27805.546087962965</v>
      </c>
      <c r="F29" s="14">
        <f>write_datetime()</f>
        <v>27805.546099537038</v>
      </c>
    </row>
    <row r="30" spans="1:6" x14ac:dyDescent="0.25">
      <c r="C30" s="6"/>
      <c r="E30" s="6"/>
      <c r="F30" s="6"/>
    </row>
    <row r="31" spans="1:6" x14ac:dyDescent="0.25">
      <c r="A31" s="4" t="s">
        <v>14</v>
      </c>
      <c r="B31" s="4"/>
      <c r="E31" s="5"/>
      <c r="F31" s="5"/>
    </row>
    <row r="32" spans="1:6" x14ac:dyDescent="0.25">
      <c r="C32" s="5">
        <v>1</v>
      </c>
      <c r="D32">
        <v>2</v>
      </c>
      <c r="E32" s="1" t="b">
        <v>1</v>
      </c>
      <c r="F32" s="3" t="b">
        <f>read_horizontal_list(C32:D32)</f>
        <v>1</v>
      </c>
    </row>
    <row r="33" spans="1:7" x14ac:dyDescent="0.25">
      <c r="C33" s="5"/>
      <c r="E33" s="5"/>
      <c r="F33" s="5"/>
    </row>
    <row r="34" spans="1:7" x14ac:dyDescent="0.25">
      <c r="A34" s="4" t="s">
        <v>15</v>
      </c>
      <c r="B34" s="4"/>
      <c r="E34" s="5"/>
      <c r="F34" s="5"/>
    </row>
    <row r="35" spans="1:7" x14ac:dyDescent="0.25">
      <c r="C35" s="5"/>
      <c r="D35" s="1">
        <v>1</v>
      </c>
      <c r="E35" s="1">
        <v>2</v>
      </c>
      <c r="F35" s="3">
        <f t="array" ref="F35:G35">write_horizontal_list()</f>
        <v>1</v>
      </c>
      <c r="G35" s="3">
        <v>2</v>
      </c>
    </row>
    <row r="36" spans="1:7" x14ac:dyDescent="0.25">
      <c r="C36" s="5"/>
      <c r="D36" s="5"/>
      <c r="E36" s="5"/>
      <c r="F36" s="5"/>
      <c r="G36" s="5"/>
    </row>
    <row r="37" spans="1:7" x14ac:dyDescent="0.25">
      <c r="A37" s="4" t="s">
        <v>16</v>
      </c>
      <c r="B37" s="4"/>
      <c r="E37" s="5"/>
      <c r="F37" s="5"/>
    </row>
    <row r="38" spans="1:7" x14ac:dyDescent="0.25">
      <c r="C38" s="5">
        <v>1</v>
      </c>
      <c r="E38" s="1" t="b">
        <v>1</v>
      </c>
      <c r="F38" s="3" t="b">
        <f>read_vertical_list(C38:C39)</f>
        <v>1</v>
      </c>
    </row>
    <row r="39" spans="1:7" x14ac:dyDescent="0.25">
      <c r="C39" s="5">
        <v>2</v>
      </c>
      <c r="E39" s="5"/>
      <c r="F39" s="5"/>
    </row>
    <row r="40" spans="1:7" x14ac:dyDescent="0.25">
      <c r="A40" s="7" t="s">
        <v>17</v>
      </c>
      <c r="B40" s="7"/>
      <c r="E40" s="1">
        <v>1</v>
      </c>
      <c r="F40" s="3">
        <f t="array" ref="F40:F41">write_vertical_list()</f>
        <v>1</v>
      </c>
    </row>
    <row r="41" spans="1:7" x14ac:dyDescent="0.25">
      <c r="A41" s="5"/>
      <c r="B41" s="5"/>
      <c r="E41" s="1">
        <v>2</v>
      </c>
      <c r="F41" s="3">
        <v>2</v>
      </c>
    </row>
    <row r="42" spans="1:7" s="5" customFormat="1" x14ac:dyDescent="0.25"/>
    <row r="43" spans="1:7" s="5" customFormat="1" x14ac:dyDescent="0.25">
      <c r="A43" s="7" t="s">
        <v>18</v>
      </c>
      <c r="B43" s="7"/>
      <c r="C43" s="5">
        <v>1</v>
      </c>
      <c r="D43" s="5">
        <v>2</v>
      </c>
      <c r="E43" s="1" t="b">
        <v>1</v>
      </c>
      <c r="F43" s="3" t="b">
        <f>read_2dlist(C43:D44)</f>
        <v>1</v>
      </c>
    </row>
    <row r="44" spans="1:7" s="5" customFormat="1" x14ac:dyDescent="0.25">
      <c r="C44" s="5">
        <v>3</v>
      </c>
      <c r="D44" s="5">
        <v>4</v>
      </c>
    </row>
    <row r="45" spans="1:7" s="5" customFormat="1" x14ac:dyDescent="0.25"/>
    <row r="46" spans="1:7" s="5" customFormat="1" x14ac:dyDescent="0.25">
      <c r="A46" s="7" t="s">
        <v>19</v>
      </c>
      <c r="B46" s="7"/>
      <c r="D46" s="1">
        <v>1</v>
      </c>
      <c r="E46" s="1">
        <v>2</v>
      </c>
      <c r="F46" s="3">
        <f t="array" ref="F46:G47">write_2dlist()</f>
        <v>1</v>
      </c>
      <c r="G46" s="3">
        <v>2</v>
      </c>
    </row>
    <row r="47" spans="1:7" s="5" customFormat="1" x14ac:dyDescent="0.25">
      <c r="D47" s="1">
        <v>3</v>
      </c>
      <c r="E47" s="1">
        <v>4</v>
      </c>
      <c r="F47" s="3">
        <v>3</v>
      </c>
      <c r="G47" s="3">
        <v>4</v>
      </c>
    </row>
    <row r="48" spans="1:7" s="5" customFormat="1" x14ac:dyDescent="0.25"/>
    <row r="49" spans="1:7" x14ac:dyDescent="0.25">
      <c r="A49" s="4" t="s">
        <v>20</v>
      </c>
      <c r="B49" s="4"/>
      <c r="E49" s="5"/>
      <c r="F49" s="5"/>
    </row>
    <row r="50" spans="1:7" x14ac:dyDescent="0.25">
      <c r="C50">
        <v>2</v>
      </c>
      <c r="E50" s="1" t="b">
        <v>1</v>
      </c>
      <c r="F50" s="3" t="b">
        <f>read_ndim1(C50)</f>
        <v>1</v>
      </c>
    </row>
    <row r="51" spans="1:7" x14ac:dyDescent="0.25">
      <c r="A51" s="5"/>
      <c r="B51" s="5"/>
      <c r="C51" s="5"/>
    </row>
    <row r="52" spans="1:7" x14ac:dyDescent="0.25">
      <c r="A52" s="4" t="s">
        <v>21</v>
      </c>
      <c r="B52" s="4"/>
      <c r="E52" s="5"/>
      <c r="F52" s="5"/>
    </row>
    <row r="53" spans="1:7" x14ac:dyDescent="0.25">
      <c r="C53">
        <v>2</v>
      </c>
      <c r="E53" s="1" t="b">
        <v>1</v>
      </c>
      <c r="F53" s="3" t="b">
        <f>read_ndim2(C53)</f>
        <v>1</v>
      </c>
    </row>
    <row r="55" spans="1:7" x14ac:dyDescent="0.25">
      <c r="A55" s="4" t="s">
        <v>22</v>
      </c>
      <c r="B55" s="4"/>
    </row>
    <row r="56" spans="1:7" x14ac:dyDescent="0.25">
      <c r="C56">
        <v>1</v>
      </c>
      <c r="D56">
        <v>2</v>
      </c>
      <c r="E56" s="1" t="b">
        <v>1</v>
      </c>
      <c r="F56" s="3" t="b">
        <f>read_transpose(C56:D57)</f>
        <v>1</v>
      </c>
    </row>
    <row r="57" spans="1:7" x14ac:dyDescent="0.25">
      <c r="C57">
        <v>3</v>
      </c>
      <c r="D57">
        <v>4</v>
      </c>
    </row>
    <row r="58" spans="1:7" x14ac:dyDescent="0.25">
      <c r="E58" s="5"/>
      <c r="F58" s="5"/>
    </row>
    <row r="59" spans="1:7" x14ac:dyDescent="0.25">
      <c r="A59" s="4" t="s">
        <v>23</v>
      </c>
      <c r="B59" s="4"/>
      <c r="D59" s="1">
        <v>1</v>
      </c>
      <c r="E59" s="1">
        <v>3</v>
      </c>
      <c r="F59" s="3">
        <f t="array" ref="F59:G60">write_transpose()</f>
        <v>1</v>
      </c>
      <c r="G59" s="3">
        <v>3</v>
      </c>
    </row>
    <row r="60" spans="1:7" x14ac:dyDescent="0.25">
      <c r="D60" s="1">
        <v>2</v>
      </c>
      <c r="E60" s="1">
        <v>4</v>
      </c>
      <c r="F60" s="3">
        <v>2</v>
      </c>
      <c r="G60" s="3">
        <v>4</v>
      </c>
    </row>
    <row r="61" spans="1:7" x14ac:dyDescent="0.25">
      <c r="E61" s="5"/>
      <c r="F61" s="5"/>
    </row>
    <row r="62" spans="1:7" x14ac:dyDescent="0.25">
      <c r="A62" s="4" t="s">
        <v>24</v>
      </c>
      <c r="B62" s="4"/>
      <c r="C62">
        <v>1</v>
      </c>
      <c r="D62" s="10">
        <v>42017</v>
      </c>
      <c r="E62" s="1" t="b">
        <v>1</v>
      </c>
      <c r="F62" s="3" t="b">
        <f>read_dates_as1(C62:D63)</f>
        <v>1</v>
      </c>
    </row>
    <row r="63" spans="1:7" x14ac:dyDescent="0.25">
      <c r="C63" s="10">
        <v>36861</v>
      </c>
      <c r="D63" s="11">
        <v>4</v>
      </c>
    </row>
    <row r="64" spans="1:7" x14ac:dyDescent="0.25">
      <c r="C64" s="10"/>
      <c r="D64" s="11"/>
    </row>
    <row r="65" spans="1:7" x14ac:dyDescent="0.25">
      <c r="A65" s="4" t="s">
        <v>25</v>
      </c>
      <c r="B65" s="4"/>
      <c r="C65" s="10"/>
      <c r="D65" s="12">
        <v>38367.541666666664</v>
      </c>
      <c r="E65" s="1" t="b">
        <v>1</v>
      </c>
      <c r="F65" s="3" t="b">
        <f>read_dates_as2(D65)</f>
        <v>1</v>
      </c>
    </row>
    <row r="66" spans="1:7" x14ac:dyDescent="0.25">
      <c r="C66" s="10"/>
      <c r="D66" s="11"/>
    </row>
    <row r="68" spans="1:7" x14ac:dyDescent="0.25">
      <c r="A68" s="4" t="s">
        <v>26</v>
      </c>
      <c r="B68" s="4"/>
      <c r="C68">
        <v>1</v>
      </c>
      <c r="D68" s="10">
        <v>42017</v>
      </c>
      <c r="E68" s="1" t="b">
        <v>1</v>
      </c>
      <c r="F68" s="3" t="b">
        <f>read_dates_as3(C68:D69)</f>
        <v>1</v>
      </c>
    </row>
    <row r="69" spans="1:7" x14ac:dyDescent="0.25">
      <c r="C69" s="10">
        <v>36861</v>
      </c>
      <c r="D69" s="11">
        <v>4</v>
      </c>
    </row>
    <row r="71" spans="1:7" x14ac:dyDescent="0.25">
      <c r="A71" s="4" t="s">
        <v>27</v>
      </c>
      <c r="B71" s="4"/>
      <c r="C71">
        <v>1</v>
      </c>
      <c r="D71" s="10"/>
      <c r="E71" s="1" t="b">
        <v>1</v>
      </c>
      <c r="F71" s="3" t="b">
        <f>read_empty_as(C71:D72)</f>
        <v>1</v>
      </c>
    </row>
    <row r="72" spans="1:7" x14ac:dyDescent="0.25">
      <c r="C72" s="10"/>
      <c r="D72" s="11">
        <v>4</v>
      </c>
    </row>
    <row r="73" spans="1:7" x14ac:dyDescent="0.25">
      <c r="A73" s="4" t="s">
        <v>50</v>
      </c>
      <c r="B73" s="4"/>
      <c r="D73" s="6"/>
      <c r="E73" s="16"/>
      <c r="F73" s="6"/>
      <c r="G73" s="5"/>
    </row>
    <row r="74" spans="1:7" x14ac:dyDescent="0.25">
      <c r="C74" s="17" t="s">
        <v>51</v>
      </c>
      <c r="D74" s="17">
        <v>1</v>
      </c>
      <c r="E74" s="1" t="b">
        <v>1</v>
      </c>
      <c r="F74" s="3" t="b">
        <f>read_dict(C74:D75)</f>
        <v>1</v>
      </c>
    </row>
    <row r="75" spans="1:7" x14ac:dyDescent="0.25">
      <c r="C75" s="17" t="s">
        <v>52</v>
      </c>
      <c r="D75" s="17" t="s">
        <v>53</v>
      </c>
    </row>
    <row r="77" spans="1:7" x14ac:dyDescent="0.25">
      <c r="A77" s="4" t="s">
        <v>54</v>
      </c>
      <c r="B77" s="4"/>
      <c r="C77" s="17" t="s">
        <v>51</v>
      </c>
      <c r="D77" s="17">
        <v>1</v>
      </c>
      <c r="E77" s="1" t="b">
        <v>1</v>
      </c>
      <c r="F77" s="3" t="b">
        <f>read_dict_transpose(C77:D78)</f>
        <v>1</v>
      </c>
    </row>
    <row r="78" spans="1:7" x14ac:dyDescent="0.25">
      <c r="C78" s="17" t="s">
        <v>52</v>
      </c>
      <c r="D78" s="17" t="s">
        <v>53</v>
      </c>
    </row>
    <row r="80" spans="1:7" x14ac:dyDescent="0.25">
      <c r="A80" s="4" t="s">
        <v>55</v>
      </c>
      <c r="B80" s="4"/>
    </row>
    <row r="81" spans="1:7" x14ac:dyDescent="0.25">
      <c r="D81" s="1" t="s">
        <v>51</v>
      </c>
      <c r="E81" s="1">
        <v>1</v>
      </c>
      <c r="F81" s="3" t="str">
        <f t="array" ref="F81:G82">write_dict()</f>
        <v>b</v>
      </c>
      <c r="G81" s="3" t="str">
        <v>c</v>
      </c>
    </row>
    <row r="82" spans="1:7" x14ac:dyDescent="0.25">
      <c r="D82" s="1" t="s">
        <v>52</v>
      </c>
      <c r="E82" s="1" t="s">
        <v>53</v>
      </c>
      <c r="F82" s="3" t="str">
        <v>a</v>
      </c>
      <c r="G82" s="3">
        <v>1</v>
      </c>
    </row>
    <row r="84" spans="1:7" x14ac:dyDescent="0.25">
      <c r="A84" s="4" t="s">
        <v>28</v>
      </c>
      <c r="B84" s="4"/>
      <c r="C84">
        <v>1</v>
      </c>
      <c r="E84" s="1" t="b">
        <v>1</v>
      </c>
      <c r="F84" s="3" t="b">
        <f>read_scalar_nparray(C84)</f>
        <v>1</v>
      </c>
    </row>
    <row r="85" spans="1:7" x14ac:dyDescent="0.25">
      <c r="A85" s="4"/>
      <c r="B85" s="4"/>
      <c r="E85" s="5"/>
      <c r="F85" s="5"/>
    </row>
    <row r="86" spans="1:7" x14ac:dyDescent="0.25">
      <c r="A86" s="4" t="s">
        <v>29</v>
      </c>
      <c r="B86" s="4"/>
      <c r="E86" s="5"/>
      <c r="F86" s="5"/>
    </row>
    <row r="87" spans="1:7" x14ac:dyDescent="0.25">
      <c r="A87" s="4"/>
      <c r="B87" s="4"/>
      <c r="E87" s="1" t="b">
        <v>1</v>
      </c>
      <c r="F87" s="3" t="b">
        <f>read_empty_nparray(C87)</f>
        <v>1</v>
      </c>
    </row>
    <row r="89" spans="1:7" x14ac:dyDescent="0.25">
      <c r="A89" s="4" t="s">
        <v>30</v>
      </c>
      <c r="B89" s="4"/>
    </row>
    <row r="90" spans="1:7" x14ac:dyDescent="0.25">
      <c r="C90">
        <v>1</v>
      </c>
      <c r="D90">
        <v>2</v>
      </c>
      <c r="E90" s="1" t="b">
        <v>1</v>
      </c>
      <c r="F90" s="3" t="b">
        <f>read_horizontal_nparray(C90:D90)</f>
        <v>1</v>
      </c>
    </row>
    <row r="92" spans="1:7" x14ac:dyDescent="0.25">
      <c r="A92" s="4" t="s">
        <v>31</v>
      </c>
      <c r="B92" s="4"/>
    </row>
    <row r="93" spans="1:7" x14ac:dyDescent="0.25">
      <c r="C93">
        <v>1</v>
      </c>
      <c r="E93" s="1" t="b">
        <v>1</v>
      </c>
      <c r="F93" s="3" t="b">
        <f>read_vertical_nparray(C93:C94)</f>
        <v>1</v>
      </c>
    </row>
    <row r="94" spans="1:7" x14ac:dyDescent="0.25">
      <c r="C94">
        <v>2</v>
      </c>
    </row>
    <row r="96" spans="1:7" x14ac:dyDescent="0.25">
      <c r="A96" s="4" t="s">
        <v>32</v>
      </c>
      <c r="B96" s="4"/>
    </row>
    <row r="97" spans="1:7" x14ac:dyDescent="0.25">
      <c r="C97">
        <v>2</v>
      </c>
      <c r="E97" s="1" t="b">
        <v>1</v>
      </c>
      <c r="F97" s="3" t="b">
        <f>read_ndim1_nparray(C97)</f>
        <v>1</v>
      </c>
    </row>
    <row r="99" spans="1:7" x14ac:dyDescent="0.25">
      <c r="A99" s="4" t="s">
        <v>33</v>
      </c>
      <c r="B99" s="4"/>
    </row>
    <row r="100" spans="1:7" x14ac:dyDescent="0.25">
      <c r="C100">
        <v>2</v>
      </c>
      <c r="E100" s="1" t="b">
        <v>1</v>
      </c>
      <c r="F100" s="3" t="b">
        <f>read_ndim2_nparray(C100)</f>
        <v>1</v>
      </c>
    </row>
    <row r="102" spans="1:7" x14ac:dyDescent="0.25">
      <c r="A102" s="4" t="s">
        <v>34</v>
      </c>
      <c r="B102" s="4"/>
    </row>
    <row r="103" spans="1:7" x14ac:dyDescent="0.25">
      <c r="C103">
        <v>1</v>
      </c>
      <c r="D103">
        <v>2</v>
      </c>
      <c r="E103" s="1" t="b">
        <v>1</v>
      </c>
      <c r="F103" s="3" t="b">
        <f>read_transpose_nparray(C103:D104)</f>
        <v>1</v>
      </c>
    </row>
    <row r="104" spans="1:7" x14ac:dyDescent="0.25">
      <c r="C104">
        <v>3</v>
      </c>
      <c r="D104">
        <v>4</v>
      </c>
    </row>
    <row r="106" spans="1:7" x14ac:dyDescent="0.25">
      <c r="A106" s="4" t="s">
        <v>35</v>
      </c>
      <c r="B106" s="4"/>
      <c r="D106" s="1">
        <v>1</v>
      </c>
      <c r="E106" s="1">
        <v>3</v>
      </c>
      <c r="F106" s="3">
        <f t="array" ref="F106:G107">write_transpose_nparray()</f>
        <v>1</v>
      </c>
      <c r="G106" s="3">
        <v>3</v>
      </c>
    </row>
    <row r="107" spans="1:7" x14ac:dyDescent="0.25">
      <c r="D107" s="1">
        <v>2</v>
      </c>
      <c r="E107" s="1">
        <v>4</v>
      </c>
      <c r="F107" s="3">
        <v>2</v>
      </c>
      <c r="G107" s="3">
        <v>4</v>
      </c>
    </row>
    <row r="109" spans="1:7" x14ac:dyDescent="0.25">
      <c r="A109" s="4" t="s">
        <v>36</v>
      </c>
      <c r="B109" s="4"/>
    </row>
    <row r="110" spans="1:7" x14ac:dyDescent="0.25">
      <c r="C110" s="10">
        <v>36880</v>
      </c>
      <c r="E110" s="1" t="b">
        <v>1</v>
      </c>
      <c r="F110" s="3" t="b">
        <f>read_date_nparray(C110)</f>
        <v>1</v>
      </c>
    </row>
    <row r="112" spans="1:7" x14ac:dyDescent="0.25">
      <c r="A112" s="4" t="s">
        <v>37</v>
      </c>
      <c r="B112" s="4"/>
    </row>
    <row r="113" spans="1:6" x14ac:dyDescent="0.25">
      <c r="C113" s="10">
        <v>36880</v>
      </c>
      <c r="E113" s="1" t="b">
        <v>1</v>
      </c>
      <c r="F113" s="3" t="b">
        <f>read_dates_as_nparray(C113)</f>
        <v>1</v>
      </c>
    </row>
    <row r="115" spans="1:6" x14ac:dyDescent="0.25">
      <c r="A115" s="4" t="s">
        <v>38</v>
      </c>
      <c r="B115" s="4"/>
    </row>
    <row r="116" spans="1:6" x14ac:dyDescent="0.25">
      <c r="C116" s="10"/>
      <c r="E116" s="1" t="b">
        <v>1</v>
      </c>
      <c r="F116" s="3" t="b">
        <f>read_empty_as_nparray(C116)</f>
        <v>1</v>
      </c>
    </row>
    <row r="118" spans="1:6" x14ac:dyDescent="0.25">
      <c r="A118" s="4" t="s">
        <v>39</v>
      </c>
      <c r="B118" s="4"/>
    </row>
    <row r="119" spans="1:6" x14ac:dyDescent="0.25">
      <c r="C119">
        <v>1</v>
      </c>
      <c r="E119" s="1" t="b">
        <v>1</v>
      </c>
      <c r="F119" s="3" t="b">
        <f>read_series_noheader_noindex(C119:C120)</f>
        <v>1</v>
      </c>
    </row>
    <row r="120" spans="1:6" x14ac:dyDescent="0.25">
      <c r="C120">
        <v>2</v>
      </c>
    </row>
    <row r="122" spans="1:6" x14ac:dyDescent="0.25">
      <c r="A122" s="4" t="s">
        <v>39</v>
      </c>
      <c r="B122" s="4"/>
    </row>
    <row r="123" spans="1:6" x14ac:dyDescent="0.25">
      <c r="C123">
        <v>10</v>
      </c>
      <c r="D123">
        <v>1</v>
      </c>
      <c r="E123" s="1" t="b">
        <v>1</v>
      </c>
      <c r="F123" s="3" t="b">
        <f>read_series_noheader_index(C123:D124)</f>
        <v>1</v>
      </c>
    </row>
    <row r="124" spans="1:6" x14ac:dyDescent="0.25">
      <c r="C124">
        <v>20</v>
      </c>
      <c r="D124">
        <v>2</v>
      </c>
    </row>
    <row r="126" spans="1:6" x14ac:dyDescent="0.25">
      <c r="A126" s="4" t="s">
        <v>39</v>
      </c>
      <c r="B126" s="4"/>
      <c r="D126" s="17" t="s">
        <v>3</v>
      </c>
    </row>
    <row r="127" spans="1:6" x14ac:dyDescent="0.25">
      <c r="D127">
        <v>1</v>
      </c>
      <c r="E127" s="1" t="b">
        <v>1</v>
      </c>
      <c r="F127" s="3" t="b">
        <f>read_series_header_noindex(D126:D128)</f>
        <v>1</v>
      </c>
    </row>
    <row r="128" spans="1:6" x14ac:dyDescent="0.25">
      <c r="D128">
        <v>2</v>
      </c>
    </row>
    <row r="130" spans="1:7" x14ac:dyDescent="0.25">
      <c r="A130" s="4" t="s">
        <v>40</v>
      </c>
      <c r="B130" s="4"/>
      <c r="C130" s="17" t="s">
        <v>4</v>
      </c>
      <c r="D130" s="17" t="s">
        <v>3</v>
      </c>
    </row>
    <row r="131" spans="1:7" x14ac:dyDescent="0.25">
      <c r="C131">
        <v>10</v>
      </c>
      <c r="D131">
        <v>1</v>
      </c>
      <c r="E131" s="1" t="b">
        <v>1</v>
      </c>
      <c r="F131" s="3" t="b">
        <f>read_series_header_named_index(C130:D132)</f>
        <v>1</v>
      </c>
    </row>
    <row r="132" spans="1:7" x14ac:dyDescent="0.25">
      <c r="C132">
        <v>20</v>
      </c>
      <c r="D132">
        <v>2</v>
      </c>
    </row>
    <row r="134" spans="1:7" x14ac:dyDescent="0.25">
      <c r="A134" s="4" t="s">
        <v>41</v>
      </c>
      <c r="B134" s="4"/>
      <c r="D134" s="17" t="s">
        <v>3</v>
      </c>
    </row>
    <row r="135" spans="1:7" x14ac:dyDescent="0.25">
      <c r="C135">
        <v>10</v>
      </c>
      <c r="D135">
        <v>1</v>
      </c>
      <c r="E135" s="1" t="b">
        <v>1</v>
      </c>
      <c r="F135" s="3" t="b">
        <f>read_series_header_nameless_index(C134:D136)</f>
        <v>1</v>
      </c>
    </row>
    <row r="136" spans="1:7" x14ac:dyDescent="0.25">
      <c r="C136">
        <v>20</v>
      </c>
      <c r="D136">
        <v>2</v>
      </c>
    </row>
    <row r="138" spans="1:7" x14ac:dyDescent="0.25">
      <c r="A138" s="4" t="s">
        <v>42</v>
      </c>
      <c r="B138" s="4"/>
    </row>
    <row r="139" spans="1:7" x14ac:dyDescent="0.25">
      <c r="E139" s="1">
        <v>1</v>
      </c>
      <c r="F139" s="3">
        <f t="array" ref="F139:F140">write_series_noheader_noindex()</f>
        <v>1</v>
      </c>
    </row>
    <row r="140" spans="1:7" x14ac:dyDescent="0.25">
      <c r="E140" s="1">
        <v>2</v>
      </c>
      <c r="F140" s="3">
        <v>2</v>
      </c>
    </row>
    <row r="142" spans="1:7" x14ac:dyDescent="0.25">
      <c r="A142" s="4" t="s">
        <v>43</v>
      </c>
      <c r="B142" s="4"/>
    </row>
    <row r="143" spans="1:7" x14ac:dyDescent="0.25">
      <c r="D143" s="1">
        <v>10</v>
      </c>
      <c r="E143" s="1">
        <v>1</v>
      </c>
      <c r="F143" s="3">
        <f t="array" ref="F143:G144">write_series_noheader_index()</f>
        <v>10</v>
      </c>
      <c r="G143" s="3">
        <v>1</v>
      </c>
    </row>
    <row r="144" spans="1:7" x14ac:dyDescent="0.25">
      <c r="D144" s="1">
        <v>20</v>
      </c>
      <c r="E144" s="1">
        <v>2</v>
      </c>
      <c r="F144" s="3">
        <v>20</v>
      </c>
      <c r="G144" s="3">
        <v>2</v>
      </c>
    </row>
    <row r="146" spans="1:7" x14ac:dyDescent="0.25">
      <c r="A146" s="4" t="s">
        <v>44</v>
      </c>
      <c r="B146" s="4"/>
    </row>
    <row r="147" spans="1:7" x14ac:dyDescent="0.25">
      <c r="E147" s="1" t="s">
        <v>3</v>
      </c>
      <c r="F147" s="3" t="str">
        <f t="array" ref="F147:F149">write_series_header_noindex()</f>
        <v>name</v>
      </c>
    </row>
    <row r="148" spans="1:7" x14ac:dyDescent="0.25">
      <c r="E148" s="1">
        <v>1</v>
      </c>
      <c r="F148" s="3">
        <v>1</v>
      </c>
    </row>
    <row r="149" spans="1:7" x14ac:dyDescent="0.25">
      <c r="E149" s="1">
        <v>2</v>
      </c>
      <c r="F149" s="3">
        <v>2</v>
      </c>
    </row>
    <row r="151" spans="1:7" x14ac:dyDescent="0.25">
      <c r="A151" s="4" t="s">
        <v>45</v>
      </c>
      <c r="B151" s="4"/>
    </row>
    <row r="152" spans="1:7" x14ac:dyDescent="0.25">
      <c r="D152" s="1" t="s">
        <v>4</v>
      </c>
      <c r="E152" s="1" t="s">
        <v>3</v>
      </c>
      <c r="F152" s="3" t="str">
        <f t="array" ref="F152:G154">write_series_header_named_index()</f>
        <v>ix</v>
      </c>
      <c r="G152" s="3" t="str">
        <v>name</v>
      </c>
    </row>
    <row r="153" spans="1:7" x14ac:dyDescent="0.25">
      <c r="D153" s="1">
        <v>10</v>
      </c>
      <c r="E153" s="1">
        <v>1</v>
      </c>
      <c r="F153" s="3">
        <v>10</v>
      </c>
      <c r="G153" s="3">
        <v>1</v>
      </c>
    </row>
    <row r="154" spans="1:7" x14ac:dyDescent="0.25">
      <c r="D154" s="1">
        <v>20</v>
      </c>
      <c r="E154" s="1">
        <v>2</v>
      </c>
      <c r="F154" s="3">
        <v>20</v>
      </c>
      <c r="G154" s="3">
        <v>2</v>
      </c>
    </row>
    <row r="156" spans="1:7" x14ac:dyDescent="0.25">
      <c r="A156" s="4" t="s">
        <v>46</v>
      </c>
      <c r="B156" s="4"/>
    </row>
    <row r="157" spans="1:7" x14ac:dyDescent="0.25">
      <c r="D157" s="1"/>
      <c r="E157" s="1" t="s">
        <v>3</v>
      </c>
      <c r="F157" s="3" t="str">
        <f t="array" ref="F157:G159">write_series_header_nameless_index()</f>
        <v/>
      </c>
      <c r="G157" s="3" t="str">
        <v>name</v>
      </c>
    </row>
    <row r="158" spans="1:7" x14ac:dyDescent="0.25">
      <c r="D158" s="1">
        <v>10</v>
      </c>
      <c r="E158" s="1">
        <v>1</v>
      </c>
      <c r="F158" s="3">
        <v>10</v>
      </c>
      <c r="G158" s="3">
        <v>1</v>
      </c>
    </row>
    <row r="159" spans="1:7" x14ac:dyDescent="0.25">
      <c r="D159" s="1">
        <v>20</v>
      </c>
      <c r="E159" s="1">
        <v>2</v>
      </c>
      <c r="F159" s="3">
        <v>20</v>
      </c>
      <c r="G159" s="3">
        <v>2</v>
      </c>
    </row>
    <row r="161" spans="1:7" x14ac:dyDescent="0.25">
      <c r="A161" s="4" t="s">
        <v>47</v>
      </c>
      <c r="B161" s="4"/>
      <c r="D161" s="17" t="s">
        <v>48</v>
      </c>
      <c r="E161" s="1" t="b">
        <v>1</v>
      </c>
      <c r="F161" s="3" t="b">
        <f>read_timeseries(C161:D163)</f>
        <v>1</v>
      </c>
    </row>
    <row r="162" spans="1:7" x14ac:dyDescent="0.25">
      <c r="C162" s="10">
        <v>36880</v>
      </c>
      <c r="D162" s="11">
        <v>1.5</v>
      </c>
    </row>
    <row r="163" spans="1:7" x14ac:dyDescent="0.25">
      <c r="C163" s="10">
        <v>36881</v>
      </c>
      <c r="D163" s="11">
        <v>2.5</v>
      </c>
    </row>
    <row r="164" spans="1:7" x14ac:dyDescent="0.25">
      <c r="C164" s="10"/>
      <c r="D164" s="11"/>
    </row>
    <row r="165" spans="1:7" x14ac:dyDescent="0.25">
      <c r="A165" s="4" t="s">
        <v>49</v>
      </c>
      <c r="B165" s="4"/>
    </row>
    <row r="166" spans="1:7" x14ac:dyDescent="0.25">
      <c r="D166" s="1"/>
      <c r="E166" s="1" t="s">
        <v>48</v>
      </c>
      <c r="F166" s="3" t="str">
        <f t="array" ref="F166:G168">write_timeseries()</f>
        <v/>
      </c>
      <c r="G166" s="3" t="str">
        <v>ts</v>
      </c>
    </row>
    <row r="167" spans="1:7" x14ac:dyDescent="0.25">
      <c r="D167" s="8">
        <v>36880</v>
      </c>
      <c r="E167" s="15">
        <v>1.5</v>
      </c>
      <c r="F167" s="9">
        <v>36880</v>
      </c>
      <c r="G167" s="3">
        <v>1.5</v>
      </c>
    </row>
    <row r="168" spans="1:7" x14ac:dyDescent="0.25">
      <c r="D168" s="8">
        <v>36881</v>
      </c>
      <c r="E168" s="15">
        <v>2.5</v>
      </c>
      <c r="F168" s="9">
        <v>36881</v>
      </c>
      <c r="G168" s="3">
        <v>2.5</v>
      </c>
    </row>
    <row r="169" spans="1:7" x14ac:dyDescent="0.25">
      <c r="D169" s="6"/>
      <c r="E169" s="16"/>
      <c r="F169" s="6"/>
      <c r="G169" s="5"/>
    </row>
    <row r="170" spans="1:7" x14ac:dyDescent="0.25">
      <c r="A170" s="4" t="s">
        <v>56</v>
      </c>
      <c r="B170" s="4"/>
      <c r="C170">
        <v>1</v>
      </c>
      <c r="D170">
        <v>2</v>
      </c>
      <c r="E170" s="1" t="b">
        <v>1</v>
      </c>
      <c r="F170" s="3" t="b">
        <f>read_df_0header_0index(C170:D171)</f>
        <v>1</v>
      </c>
    </row>
    <row r="171" spans="1:7" x14ac:dyDescent="0.25">
      <c r="C171">
        <v>3</v>
      </c>
      <c r="D171">
        <v>4</v>
      </c>
    </row>
    <row r="173" spans="1:7" x14ac:dyDescent="0.25">
      <c r="A173" s="4" t="s">
        <v>57</v>
      </c>
      <c r="E173" s="1" t="b">
        <v>1</v>
      </c>
      <c r="F173" s="3" t="b">
        <f>read_df_1header_1namedindex(A174:D176)</f>
        <v>1</v>
      </c>
    </row>
    <row r="174" spans="1:7" x14ac:dyDescent="0.25">
      <c r="A174" s="17" t="s">
        <v>59</v>
      </c>
      <c r="B174" s="17" t="s">
        <v>53</v>
      </c>
      <c r="C174" s="17" t="s">
        <v>58</v>
      </c>
      <c r="D174" s="17" t="s">
        <v>53</v>
      </c>
    </row>
    <row r="175" spans="1:7" x14ac:dyDescent="0.25">
      <c r="A175" s="17">
        <v>1</v>
      </c>
      <c r="B175" s="17">
        <v>1</v>
      </c>
      <c r="C175" s="17">
        <v>2</v>
      </c>
      <c r="D175" s="17">
        <v>3</v>
      </c>
    </row>
    <row r="176" spans="1:7" x14ac:dyDescent="0.25">
      <c r="A176" s="17">
        <v>2</v>
      </c>
      <c r="B176" s="17">
        <v>4</v>
      </c>
      <c r="C176" s="17">
        <v>5</v>
      </c>
      <c r="D176" s="17">
        <v>6</v>
      </c>
    </row>
    <row r="178" spans="1:6" x14ac:dyDescent="0.25">
      <c r="A178" s="4" t="s">
        <v>60</v>
      </c>
      <c r="E178" s="1" t="b">
        <v>1</v>
      </c>
      <c r="F178" s="3" t="b">
        <f>read_df_1header_1unnamedindex(A179:D181)</f>
        <v>1</v>
      </c>
    </row>
    <row r="179" spans="1:6" x14ac:dyDescent="0.25">
      <c r="A179" s="17"/>
      <c r="B179" s="17" t="s">
        <v>53</v>
      </c>
      <c r="C179" s="17" t="s">
        <v>58</v>
      </c>
      <c r="D179" s="17" t="s">
        <v>53</v>
      </c>
    </row>
    <row r="180" spans="1:6" x14ac:dyDescent="0.25">
      <c r="A180" s="17">
        <v>1</v>
      </c>
      <c r="B180" s="17">
        <v>1</v>
      </c>
      <c r="C180" s="17">
        <v>2</v>
      </c>
      <c r="D180" s="17">
        <v>3</v>
      </c>
    </row>
    <row r="181" spans="1:6" x14ac:dyDescent="0.25">
      <c r="A181" s="17">
        <v>2</v>
      </c>
      <c r="B181" s="17">
        <v>4</v>
      </c>
      <c r="C181" s="17">
        <v>5</v>
      </c>
      <c r="D181" s="17">
        <v>6</v>
      </c>
    </row>
    <row r="183" spans="1:6" x14ac:dyDescent="0.25">
      <c r="A183" s="4" t="s">
        <v>61</v>
      </c>
      <c r="E183" s="1" t="b">
        <v>1</v>
      </c>
      <c r="F183" s="3" t="b">
        <f>read_df_2header_1namedindex(A184:D187)</f>
        <v>1</v>
      </c>
    </row>
    <row r="184" spans="1:6" x14ac:dyDescent="0.25">
      <c r="B184" s="17" t="s">
        <v>51</v>
      </c>
      <c r="C184" s="17" t="s">
        <v>51</v>
      </c>
      <c r="D184" s="17" t="s">
        <v>52</v>
      </c>
    </row>
    <row r="185" spans="1:6" x14ac:dyDescent="0.25">
      <c r="A185" s="17" t="s">
        <v>59</v>
      </c>
      <c r="B185" s="17" t="s">
        <v>53</v>
      </c>
      <c r="C185" s="17" t="s">
        <v>58</v>
      </c>
      <c r="D185" s="17" t="s">
        <v>53</v>
      </c>
    </row>
    <row r="186" spans="1:6" x14ac:dyDescent="0.25">
      <c r="A186" s="17">
        <v>1</v>
      </c>
      <c r="B186" s="17">
        <v>1</v>
      </c>
      <c r="C186" s="17">
        <v>2</v>
      </c>
      <c r="D186" s="17">
        <v>3</v>
      </c>
    </row>
    <row r="187" spans="1:6" x14ac:dyDescent="0.25">
      <c r="A187" s="17">
        <v>2</v>
      </c>
      <c r="B187" s="17">
        <v>4</v>
      </c>
      <c r="C187" s="17">
        <v>5</v>
      </c>
      <c r="D187" s="17">
        <v>6</v>
      </c>
    </row>
    <row r="189" spans="1:6" x14ac:dyDescent="0.25">
      <c r="A189" s="4" t="s">
        <v>62</v>
      </c>
      <c r="E189" s="1" t="b">
        <v>1</v>
      </c>
      <c r="F189" s="3" t="b">
        <f>read_df_2header_1unnamedindex(A190:D193)</f>
        <v>1</v>
      </c>
    </row>
    <row r="190" spans="1:6" x14ac:dyDescent="0.25">
      <c r="B190" s="17" t="s">
        <v>51</v>
      </c>
      <c r="C190" s="17" t="s">
        <v>51</v>
      </c>
      <c r="D190" s="17" t="s">
        <v>52</v>
      </c>
    </row>
    <row r="191" spans="1:6" x14ac:dyDescent="0.25">
      <c r="A191" s="17"/>
      <c r="B191" s="17" t="s">
        <v>53</v>
      </c>
      <c r="C191" s="17" t="s">
        <v>58</v>
      </c>
      <c r="D191" s="17" t="s">
        <v>53</v>
      </c>
    </row>
    <row r="192" spans="1:6" x14ac:dyDescent="0.25">
      <c r="A192" s="17">
        <v>1</v>
      </c>
      <c r="B192" s="17">
        <v>1</v>
      </c>
      <c r="C192" s="17">
        <v>2</v>
      </c>
      <c r="D192" s="17">
        <v>3</v>
      </c>
    </row>
    <row r="193" spans="1:7" x14ac:dyDescent="0.25">
      <c r="A193" s="17">
        <v>2</v>
      </c>
      <c r="B193" s="17">
        <v>4</v>
      </c>
      <c r="C193" s="17">
        <v>5</v>
      </c>
      <c r="D193" s="17">
        <v>6</v>
      </c>
    </row>
    <row r="195" spans="1:7" x14ac:dyDescent="0.25">
      <c r="A195" s="4" t="s">
        <v>63</v>
      </c>
      <c r="F195" s="1" t="b">
        <v>1</v>
      </c>
      <c r="G195" s="3" t="b">
        <f>read_df_2header_2namedindex(A196:E200)</f>
        <v>1</v>
      </c>
    </row>
    <row r="196" spans="1:7" x14ac:dyDescent="0.25">
      <c r="A196" s="17"/>
      <c r="B196" s="17"/>
      <c r="C196" s="17" t="s">
        <v>51</v>
      </c>
      <c r="D196" s="17" t="s">
        <v>51</v>
      </c>
      <c r="E196" s="17" t="s">
        <v>52</v>
      </c>
    </row>
    <row r="197" spans="1:7" x14ac:dyDescent="0.25">
      <c r="A197" s="17" t="s">
        <v>64</v>
      </c>
      <c r="B197" s="17" t="s">
        <v>65</v>
      </c>
      <c r="C197" s="17" t="s">
        <v>53</v>
      </c>
      <c r="D197" s="17" t="s">
        <v>58</v>
      </c>
      <c r="E197" s="17" t="s">
        <v>53</v>
      </c>
    </row>
    <row r="198" spans="1:7" x14ac:dyDescent="0.25">
      <c r="A198" s="17" t="s">
        <v>51</v>
      </c>
      <c r="B198" s="17">
        <v>1</v>
      </c>
      <c r="C198" s="17">
        <v>1</v>
      </c>
      <c r="D198" s="17">
        <v>2</v>
      </c>
      <c r="E198" s="17">
        <v>3</v>
      </c>
    </row>
    <row r="199" spans="1:7" x14ac:dyDescent="0.25">
      <c r="A199" s="17" t="s">
        <v>51</v>
      </c>
      <c r="B199" s="17">
        <v>2</v>
      </c>
      <c r="C199" s="17">
        <v>4</v>
      </c>
      <c r="D199" s="17">
        <v>5</v>
      </c>
      <c r="E199" s="17">
        <v>6</v>
      </c>
    </row>
    <row r="200" spans="1:7" x14ac:dyDescent="0.25">
      <c r="A200" s="17" t="s">
        <v>52</v>
      </c>
      <c r="B200" s="17">
        <v>1</v>
      </c>
      <c r="C200" s="17">
        <v>7</v>
      </c>
      <c r="D200" s="17">
        <v>8</v>
      </c>
      <c r="E200" s="17">
        <v>9</v>
      </c>
    </row>
    <row r="203" spans="1:7" x14ac:dyDescent="0.25">
      <c r="A203" s="4" t="s">
        <v>66</v>
      </c>
      <c r="F203" s="1" t="b">
        <v>1</v>
      </c>
      <c r="G203" s="3" t="b">
        <f>read_df_2header_2unnamedindex(A204:E208)</f>
        <v>1</v>
      </c>
    </row>
    <row r="204" spans="1:7" x14ac:dyDescent="0.25">
      <c r="A204" s="17"/>
      <c r="B204" s="17"/>
      <c r="C204" s="17" t="s">
        <v>51</v>
      </c>
      <c r="D204" s="17" t="s">
        <v>51</v>
      </c>
      <c r="E204" s="17" t="s">
        <v>52</v>
      </c>
    </row>
    <row r="205" spans="1:7" x14ac:dyDescent="0.25">
      <c r="A205" s="17"/>
      <c r="B205" s="17"/>
      <c r="C205" s="17" t="s">
        <v>53</v>
      </c>
      <c r="D205" s="17" t="s">
        <v>58</v>
      </c>
      <c r="E205" s="17" t="s">
        <v>53</v>
      </c>
    </row>
    <row r="206" spans="1:7" x14ac:dyDescent="0.25">
      <c r="A206" s="17" t="s">
        <v>51</v>
      </c>
      <c r="B206" s="17">
        <v>1</v>
      </c>
      <c r="C206" s="17">
        <v>1</v>
      </c>
      <c r="D206" s="17">
        <v>2</v>
      </c>
      <c r="E206" s="17">
        <v>3</v>
      </c>
    </row>
    <row r="207" spans="1:7" x14ac:dyDescent="0.25">
      <c r="A207" s="17" t="s">
        <v>51</v>
      </c>
      <c r="B207" s="17">
        <v>2</v>
      </c>
      <c r="C207" s="17">
        <v>4</v>
      </c>
      <c r="D207" s="17">
        <v>5</v>
      </c>
      <c r="E207" s="17">
        <v>6</v>
      </c>
    </row>
    <row r="208" spans="1:7" x14ac:dyDescent="0.25">
      <c r="A208" s="17" t="s">
        <v>52</v>
      </c>
      <c r="B208" s="17">
        <v>1</v>
      </c>
      <c r="C208" s="17">
        <v>7</v>
      </c>
      <c r="D208" s="17">
        <v>8</v>
      </c>
      <c r="E208" s="17">
        <v>9</v>
      </c>
    </row>
    <row r="210" spans="1:7" x14ac:dyDescent="0.25">
      <c r="A210" s="4" t="s">
        <v>67</v>
      </c>
      <c r="F210" s="1" t="b">
        <v>1</v>
      </c>
      <c r="G210" s="3" t="b">
        <f>read_df_1header_2namedindex(A211:E214)</f>
        <v>1</v>
      </c>
    </row>
    <row r="211" spans="1:7" x14ac:dyDescent="0.25">
      <c r="A211" s="17" t="s">
        <v>64</v>
      </c>
      <c r="B211" s="17" t="s">
        <v>65</v>
      </c>
      <c r="C211" s="17" t="s">
        <v>51</v>
      </c>
      <c r="D211" s="17" t="s">
        <v>58</v>
      </c>
      <c r="E211" s="17" t="s">
        <v>53</v>
      </c>
    </row>
    <row r="212" spans="1:7" x14ac:dyDescent="0.25">
      <c r="A212" s="17" t="s">
        <v>51</v>
      </c>
      <c r="B212" s="17">
        <v>1</v>
      </c>
      <c r="C212" s="17">
        <v>1</v>
      </c>
      <c r="D212" s="17">
        <v>2</v>
      </c>
      <c r="E212" s="17">
        <v>3</v>
      </c>
    </row>
    <row r="213" spans="1:7" x14ac:dyDescent="0.25">
      <c r="A213" s="17" t="s">
        <v>51</v>
      </c>
      <c r="B213" s="17">
        <v>2</v>
      </c>
      <c r="C213" s="17">
        <v>4</v>
      </c>
      <c r="D213" s="17">
        <v>5</v>
      </c>
      <c r="E213" s="17">
        <v>6</v>
      </c>
    </row>
    <row r="214" spans="1:7" x14ac:dyDescent="0.25">
      <c r="A214" s="17" t="s">
        <v>52</v>
      </c>
      <c r="B214" s="17">
        <v>1</v>
      </c>
      <c r="C214" s="17">
        <v>7</v>
      </c>
      <c r="D214" s="17">
        <v>8</v>
      </c>
      <c r="E214" s="17">
        <v>9</v>
      </c>
    </row>
    <row r="216" spans="1:7" x14ac:dyDescent="0.25">
      <c r="A216" s="4" t="s">
        <v>68</v>
      </c>
      <c r="E216" s="1" t="b">
        <v>1</v>
      </c>
      <c r="F216" s="3" t="b">
        <f>read_df_date_index(A217:D219)</f>
        <v>1</v>
      </c>
    </row>
    <row r="217" spans="1:7" x14ac:dyDescent="0.25">
      <c r="A217" s="17"/>
      <c r="B217" s="17" t="s">
        <v>53</v>
      </c>
      <c r="C217" s="17" t="s">
        <v>58</v>
      </c>
      <c r="D217" s="17" t="s">
        <v>53</v>
      </c>
    </row>
    <row r="218" spans="1:7" x14ac:dyDescent="0.25">
      <c r="A218" s="19">
        <v>36507</v>
      </c>
      <c r="B218" s="17">
        <v>1</v>
      </c>
      <c r="C218" s="17">
        <v>2</v>
      </c>
      <c r="D218" s="17">
        <v>3</v>
      </c>
    </row>
    <row r="219" spans="1:7" x14ac:dyDescent="0.25">
      <c r="A219" s="19">
        <v>36508</v>
      </c>
      <c r="B219" s="17">
        <v>4</v>
      </c>
      <c r="C219" s="17">
        <v>5</v>
      </c>
      <c r="D219" s="17">
        <v>6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2016-02-18T16:58:09Z</dcterms:modified>
</cp:coreProperties>
</file>