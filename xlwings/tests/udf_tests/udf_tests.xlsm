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J69" i="1" l="1"/>
  <c r="I69" i="1"/>
  <c r="J68" i="1"/>
  <c r="I68" i="1"/>
  <c r="G154" i="1"/>
  <c r="G157" i="1" a="1"/>
  <c r="G157" i="1"/>
  <c r="H157" i="1"/>
  <c r="I157" i="1"/>
  <c r="G158" i="1"/>
  <c r="H158" i="1"/>
  <c r="I158" i="1"/>
  <c r="J157" i="1"/>
  <c r="K157" i="1"/>
  <c r="L157" i="1"/>
  <c r="J158" i="1"/>
  <c r="K158" i="1"/>
  <c r="L158" i="1"/>
  <c r="A157" i="1"/>
  <c r="H154" i="1"/>
  <c r="A154" i="1"/>
  <c r="G150" i="1" a="1"/>
  <c r="G150" i="1"/>
  <c r="I150" i="1"/>
  <c r="H150" i="1"/>
  <c r="J150" i="1"/>
  <c r="G151" i="1"/>
  <c r="I151" i="1"/>
  <c r="H151" i="1"/>
  <c r="J151" i="1"/>
  <c r="G152" i="1"/>
  <c r="I152" i="1"/>
  <c r="H152" i="1"/>
  <c r="J152" i="1"/>
  <c r="A150" i="1"/>
  <c r="G146" i="1"/>
  <c r="H146" i="1"/>
  <c r="A146" i="1"/>
  <c r="G22" i="1"/>
  <c r="H22" i="1"/>
  <c r="A22" i="1"/>
  <c r="G4" i="1"/>
  <c r="H4" i="1"/>
  <c r="G5" i="1"/>
  <c r="H5" i="1"/>
  <c r="A4" i="1"/>
  <c r="G7" i="1"/>
  <c r="H7" i="1"/>
  <c r="A7" i="1"/>
  <c r="G9" i="1"/>
  <c r="H9" i="1"/>
  <c r="G10" i="1"/>
  <c r="H10" i="1"/>
  <c r="A9" i="1"/>
  <c r="G12" i="1"/>
  <c r="H12" i="1"/>
  <c r="A12" i="1"/>
  <c r="G14" i="1"/>
  <c r="H14" i="1"/>
  <c r="A14" i="1"/>
  <c r="G16" i="1"/>
  <c r="H16" i="1"/>
  <c r="A16" i="1"/>
  <c r="G18" i="1"/>
  <c r="H18" i="1"/>
  <c r="A18" i="1"/>
  <c r="G20" i="1"/>
  <c r="H20" i="1"/>
  <c r="A20" i="1"/>
  <c r="G24" i="1"/>
  <c r="H24" i="1"/>
  <c r="A24" i="1"/>
  <c r="G26" i="1" a="1"/>
  <c r="G26" i="1"/>
  <c r="I26" i="1"/>
  <c r="H26" i="1"/>
  <c r="J26" i="1"/>
  <c r="A26" i="1"/>
  <c r="G28" i="1"/>
  <c r="H28" i="1"/>
  <c r="A28" i="1"/>
  <c r="G31" i="1" a="1"/>
  <c r="G31" i="1"/>
  <c r="H31" i="1"/>
  <c r="G32" i="1"/>
  <c r="H32" i="1"/>
  <c r="A31" i="1"/>
  <c r="G34" i="1"/>
  <c r="H34" i="1"/>
  <c r="A34" i="1"/>
  <c r="G37" i="1" a="1"/>
  <c r="G37" i="1"/>
  <c r="I37" i="1"/>
  <c r="H37" i="1"/>
  <c r="J37" i="1"/>
  <c r="G38" i="1"/>
  <c r="I38" i="1"/>
  <c r="H38" i="1"/>
  <c r="J38" i="1"/>
  <c r="A37" i="1"/>
  <c r="G40" i="1"/>
  <c r="H40" i="1"/>
  <c r="A40" i="1"/>
  <c r="G42" i="1"/>
  <c r="H42" i="1"/>
  <c r="A42" i="1"/>
  <c r="G44" i="1"/>
  <c r="H44" i="1"/>
  <c r="A44" i="1"/>
  <c r="G47" i="1" a="1"/>
  <c r="G47" i="1"/>
  <c r="I47" i="1"/>
  <c r="H47" i="1"/>
  <c r="J47" i="1"/>
  <c r="G48" i="1"/>
  <c r="I48" i="1"/>
  <c r="H48" i="1"/>
  <c r="J48" i="1"/>
  <c r="A47" i="1"/>
  <c r="G50" i="1"/>
  <c r="H50" i="1"/>
  <c r="A50" i="1"/>
  <c r="G53" i="1"/>
  <c r="H53" i="1"/>
  <c r="A53" i="1"/>
  <c r="G56" i="1"/>
  <c r="H56" i="1"/>
  <c r="A56" i="1"/>
  <c r="G59" i="1"/>
  <c r="H59" i="1"/>
  <c r="A59" i="1"/>
  <c r="G62" i="1"/>
  <c r="H62" i="1"/>
  <c r="A62" i="1"/>
  <c r="G65" i="1"/>
  <c r="H65" i="1"/>
  <c r="A65" i="1"/>
  <c r="G68" i="1" a="1"/>
  <c r="G68" i="1"/>
  <c r="H68" i="1"/>
  <c r="G69" i="1"/>
  <c r="H69" i="1"/>
  <c r="A68" i="1"/>
  <c r="G71" i="1"/>
  <c r="H71" i="1"/>
  <c r="A71" i="1"/>
  <c r="G73" i="1"/>
  <c r="H73" i="1"/>
  <c r="A73" i="1"/>
  <c r="G75" i="1"/>
  <c r="H75" i="1"/>
  <c r="A75" i="1"/>
  <c r="G77" i="1"/>
  <c r="H77" i="1"/>
  <c r="A77" i="1"/>
  <c r="G80" i="1"/>
  <c r="H80" i="1"/>
  <c r="A80" i="1"/>
  <c r="G82" i="1"/>
  <c r="H82" i="1"/>
  <c r="A82" i="1"/>
  <c r="G84" i="1"/>
  <c r="H84" i="1"/>
  <c r="A84" i="1"/>
  <c r="G87" i="1" a="1"/>
  <c r="G87" i="1"/>
  <c r="I87" i="1"/>
  <c r="H87" i="1"/>
  <c r="J87" i="1"/>
  <c r="G88" i="1"/>
  <c r="I88" i="1"/>
  <c r="H88" i="1"/>
  <c r="J88" i="1"/>
  <c r="A87" i="1"/>
  <c r="G90" i="1"/>
  <c r="H90" i="1"/>
  <c r="A90" i="1"/>
  <c r="G92" i="1"/>
  <c r="H92" i="1"/>
  <c r="A92" i="1"/>
  <c r="G94" i="1"/>
  <c r="H94" i="1"/>
  <c r="A94" i="1"/>
  <c r="G96" i="1"/>
  <c r="H96" i="1"/>
  <c r="A96" i="1"/>
  <c r="G99" i="1"/>
  <c r="H99" i="1"/>
  <c r="A99" i="1"/>
  <c r="G102" i="1"/>
  <c r="H102" i="1"/>
  <c r="A102" i="1"/>
  <c r="G106" i="1"/>
  <c r="H106" i="1"/>
  <c r="A106" i="1"/>
  <c r="G110" i="1"/>
  <c r="H110" i="1"/>
  <c r="A110" i="1"/>
  <c r="G114" i="1" a="1"/>
  <c r="G114" i="1"/>
  <c r="H114" i="1"/>
  <c r="G115" i="1"/>
  <c r="H115" i="1"/>
  <c r="A114" i="1"/>
  <c r="G117" i="1" a="1"/>
  <c r="G117" i="1"/>
  <c r="I117" i="1"/>
  <c r="H117" i="1"/>
  <c r="J117" i="1"/>
  <c r="G118" i="1"/>
  <c r="I118" i="1"/>
  <c r="H118" i="1"/>
  <c r="J118" i="1"/>
  <c r="A117" i="1"/>
  <c r="G120" i="1" a="1"/>
  <c r="G120" i="1"/>
  <c r="H120" i="1"/>
  <c r="G121" i="1"/>
  <c r="H121" i="1"/>
  <c r="G122" i="1"/>
  <c r="H122" i="1"/>
  <c r="A120" i="1"/>
  <c r="G124" i="1" a="1"/>
  <c r="G124" i="1"/>
  <c r="I124" i="1"/>
  <c r="H124" i="1"/>
  <c r="J124" i="1"/>
  <c r="G125" i="1"/>
  <c r="I125" i="1"/>
  <c r="H125" i="1"/>
  <c r="J125" i="1"/>
  <c r="G126" i="1"/>
  <c r="I126" i="1"/>
  <c r="H126" i="1"/>
  <c r="J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/>
  <c r="H132" i="1"/>
  <c r="A132" i="1"/>
  <c r="G136" i="1" a="1"/>
  <c r="G136" i="1"/>
  <c r="I136" i="1"/>
  <c r="H136" i="1"/>
  <c r="J136" i="1"/>
  <c r="G137" i="1"/>
  <c r="I137" i="1"/>
  <c r="H137" i="1"/>
  <c r="J137" i="1"/>
  <c r="G138" i="1"/>
  <c r="I138" i="1"/>
  <c r="H138" i="1"/>
  <c r="J138" i="1"/>
  <c r="A136" i="1"/>
  <c r="G140" i="1"/>
  <c r="H140" i="1"/>
  <c r="A140" i="1"/>
  <c r="G143" i="1" a="1"/>
  <c r="G143" i="1"/>
  <c r="I143" i="1"/>
  <c r="H143" i="1"/>
  <c r="J143" i="1"/>
  <c r="G144" i="1"/>
  <c r="I144" i="1"/>
  <c r="H144" i="1"/>
  <c r="J144" i="1"/>
  <c r="A143" i="1"/>
  <c r="G163" i="1"/>
  <c r="H163" i="1"/>
  <c r="A163" i="1"/>
  <c r="G168" i="1" a="1"/>
  <c r="G168" i="1"/>
  <c r="K168" i="1"/>
  <c r="H168" i="1"/>
  <c r="L168" i="1"/>
  <c r="I168" i="1"/>
  <c r="M168" i="1"/>
  <c r="J168" i="1"/>
  <c r="N168" i="1"/>
  <c r="G169" i="1"/>
  <c r="K169" i="1"/>
  <c r="H169" i="1"/>
  <c r="L169" i="1"/>
  <c r="I169" i="1"/>
  <c r="M169" i="1"/>
  <c r="J169" i="1"/>
  <c r="N169" i="1"/>
  <c r="G170" i="1"/>
  <c r="K170" i="1"/>
  <c r="H170" i="1"/>
  <c r="L170" i="1"/>
  <c r="I170" i="1"/>
  <c r="M170" i="1"/>
  <c r="J170" i="1"/>
  <c r="N170" i="1"/>
  <c r="A168" i="1"/>
  <c r="G172" i="1"/>
  <c r="H172" i="1"/>
  <c r="A172" i="1"/>
  <c r="G177" i="1" a="1"/>
  <c r="G177" i="1"/>
  <c r="K177" i="1"/>
  <c r="H177" i="1"/>
  <c r="L177" i="1"/>
  <c r="I177" i="1"/>
  <c r="M177" i="1"/>
  <c r="J177" i="1"/>
  <c r="N177" i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A177" i="1"/>
  <c r="G181" i="1"/>
  <c r="H181" i="1"/>
  <c r="A181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A187" i="1"/>
  <c r="G192" i="1"/>
  <c r="H192" i="1"/>
  <c r="A192" i="1"/>
  <c r="G198" i="1" a="1"/>
  <c r="G198" i="1"/>
  <c r="K198" i="1"/>
  <c r="H198" i="1"/>
  <c r="L198" i="1"/>
  <c r="I198" i="1"/>
  <c r="M198" i="1"/>
  <c r="J198" i="1"/>
  <c r="N198" i="1"/>
  <c r="G199" i="1"/>
  <c r="K199" i="1"/>
  <c r="H199" i="1"/>
  <c r="L199" i="1"/>
  <c r="I199" i="1"/>
  <c r="M199" i="1"/>
  <c r="J199" i="1"/>
  <c r="N199" i="1"/>
  <c r="G200" i="1"/>
  <c r="K200" i="1"/>
  <c r="H200" i="1"/>
  <c r="L200" i="1"/>
  <c r="I200" i="1"/>
  <c r="M200" i="1"/>
  <c r="J200" i="1"/>
  <c r="N200" i="1"/>
  <c r="G201" i="1"/>
  <c r="K201" i="1"/>
  <c r="H201" i="1"/>
  <c r="L201" i="1"/>
  <c r="I201" i="1"/>
  <c r="M201" i="1"/>
  <c r="J201" i="1"/>
  <c r="N201" i="1"/>
  <c r="A198" i="1"/>
  <c r="G203" i="1"/>
  <c r="H203" i="1"/>
  <c r="A203" i="1"/>
  <c r="G211" i="1" a="1"/>
  <c r="G211" i="1"/>
  <c r="L211" i="1"/>
  <c r="H211" i="1"/>
  <c r="M211" i="1"/>
  <c r="I211" i="1"/>
  <c r="N211" i="1"/>
  <c r="J211" i="1"/>
  <c r="O211" i="1"/>
  <c r="K211" i="1"/>
  <c r="P211" i="1"/>
  <c r="G212" i="1"/>
  <c r="L212" i="1"/>
  <c r="H212" i="1"/>
  <c r="M212" i="1"/>
  <c r="I212" i="1"/>
  <c r="N212" i="1"/>
  <c r="J212" i="1"/>
  <c r="O212" i="1"/>
  <c r="K212" i="1"/>
  <c r="P212" i="1"/>
  <c r="G213" i="1"/>
  <c r="L213" i="1"/>
  <c r="H213" i="1"/>
  <c r="M213" i="1"/>
  <c r="I213" i="1"/>
  <c r="N213" i="1"/>
  <c r="J213" i="1"/>
  <c r="O213" i="1"/>
  <c r="K213" i="1"/>
  <c r="P213" i="1"/>
  <c r="G214" i="1"/>
  <c r="L214" i="1"/>
  <c r="H214" i="1"/>
  <c r="M214" i="1"/>
  <c r="I214" i="1"/>
  <c r="N214" i="1"/>
  <c r="J214" i="1"/>
  <c r="O214" i="1"/>
  <c r="K214" i="1"/>
  <c r="P214" i="1"/>
  <c r="G215" i="1"/>
  <c r="L215" i="1"/>
  <c r="H215" i="1"/>
  <c r="M215" i="1"/>
  <c r="I215" i="1"/>
  <c r="N215" i="1"/>
  <c r="J215" i="1"/>
  <c r="O215" i="1"/>
  <c r="K215" i="1"/>
  <c r="P215" i="1"/>
  <c r="A210" i="1"/>
  <c r="G219" i="1"/>
  <c r="H219" i="1"/>
  <c r="A219" i="1"/>
  <c r="G227" i="1" a="1"/>
  <c r="G227" i="1"/>
  <c r="L227" i="1"/>
  <c r="H227" i="1"/>
  <c r="M227" i="1"/>
  <c r="I227" i="1"/>
  <c r="N227" i="1"/>
  <c r="J227" i="1"/>
  <c r="O227" i="1"/>
  <c r="K227" i="1"/>
  <c r="P227" i="1"/>
  <c r="G228" i="1"/>
  <c r="L228" i="1"/>
  <c r="H228" i="1"/>
  <c r="M228" i="1"/>
  <c r="I228" i="1"/>
  <c r="N228" i="1"/>
  <c r="J228" i="1"/>
  <c r="O228" i="1"/>
  <c r="K228" i="1"/>
  <c r="P228" i="1"/>
  <c r="G229" i="1"/>
  <c r="L229" i="1"/>
  <c r="H229" i="1"/>
  <c r="M229" i="1"/>
  <c r="I229" i="1"/>
  <c r="N229" i="1"/>
  <c r="J229" i="1"/>
  <c r="O229" i="1"/>
  <c r="K229" i="1"/>
  <c r="P229" i="1"/>
  <c r="G230" i="1"/>
  <c r="L230" i="1"/>
  <c r="H230" i="1"/>
  <c r="M230" i="1"/>
  <c r="I230" i="1"/>
  <c r="N230" i="1"/>
  <c r="J230" i="1"/>
  <c r="O230" i="1"/>
  <c r="K230" i="1"/>
  <c r="P230" i="1"/>
  <c r="G231" i="1"/>
  <c r="L231" i="1"/>
  <c r="H231" i="1"/>
  <c r="M231" i="1"/>
  <c r="I231" i="1"/>
  <c r="N231" i="1"/>
  <c r="J231" i="1"/>
  <c r="O231" i="1"/>
  <c r="K231" i="1"/>
  <c r="P231" i="1"/>
  <c r="A226" i="1"/>
  <c r="G233" i="1"/>
  <c r="H233" i="1"/>
  <c r="A233" i="1"/>
  <c r="G240" i="1" a="1"/>
  <c r="G240" i="1"/>
  <c r="L240" i="1"/>
  <c r="H240" i="1"/>
  <c r="M240" i="1"/>
  <c r="I240" i="1"/>
  <c r="N240" i="1"/>
  <c r="J240" i="1"/>
  <c r="O240" i="1"/>
  <c r="K240" i="1"/>
  <c r="P240" i="1"/>
  <c r="G241" i="1"/>
  <c r="L241" i="1"/>
  <c r="H241" i="1"/>
  <c r="M241" i="1"/>
  <c r="I241" i="1"/>
  <c r="N241" i="1"/>
  <c r="J241" i="1"/>
  <c r="O241" i="1"/>
  <c r="K241" i="1"/>
  <c r="P241" i="1"/>
  <c r="G242" i="1"/>
  <c r="L242" i="1"/>
  <c r="H242" i="1"/>
  <c r="M242" i="1"/>
  <c r="I242" i="1"/>
  <c r="N242" i="1"/>
  <c r="J242" i="1"/>
  <c r="O242" i="1"/>
  <c r="K242" i="1"/>
  <c r="P242" i="1"/>
  <c r="G243" i="1"/>
  <c r="L243" i="1"/>
  <c r="H243" i="1"/>
  <c r="M243" i="1"/>
  <c r="I243" i="1"/>
  <c r="N243" i="1"/>
  <c r="J243" i="1"/>
  <c r="O243" i="1"/>
  <c r="K243" i="1"/>
  <c r="P243" i="1"/>
  <c r="A239" i="1"/>
  <c r="G245" i="1"/>
  <c r="H245" i="1"/>
  <c r="A245" i="1"/>
  <c r="G250" i="1" a="1"/>
  <c r="G250" i="1"/>
  <c r="K250" i="1"/>
  <c r="H250" i="1"/>
  <c r="L250" i="1"/>
  <c r="I250" i="1"/>
  <c r="M250" i="1"/>
  <c r="J250" i="1"/>
  <c r="N250" i="1"/>
  <c r="G251" i="1"/>
  <c r="K251" i="1"/>
  <c r="H251" i="1"/>
  <c r="L251" i="1"/>
  <c r="I251" i="1"/>
  <c r="M251" i="1"/>
  <c r="J251" i="1"/>
  <c r="N251" i="1"/>
  <c r="G252" i="1"/>
  <c r="K252" i="1"/>
  <c r="H252" i="1"/>
  <c r="L252" i="1"/>
  <c r="I252" i="1"/>
  <c r="M252" i="1"/>
  <c r="J252" i="1"/>
  <c r="N252" i="1"/>
  <c r="A250" i="1"/>
  <c r="B1" i="1"/>
</calcChain>
</file>

<file path=xl/sharedStrings.xml><?xml version="1.0" encoding="utf-8"?>
<sst xmlns="http://schemas.openxmlformats.org/spreadsheetml/2006/main" count="202" uniqueCount="84">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</sst>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</cellXfs>
  <cellStyles count="2">
    <cellStyle name="Normal" xfId="0" builtinId="0"/>
    <cellStyle name="Normal 2" xfId="1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52"/>
  <sheetViews>
    <sheetView tabSelected="1" topLeftCell="A4" zoomScale="80" zoomScaleNormal="80" workbookViewId="0">
      <selection activeCell="I68" sqref="I68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s="20" t="s">
        <v>79</v>
      </c>
      <c r="B1" s="26">
        <f>COUNTIF(A:A,FALSE)</f>
        <v>0</v>
      </c>
      <c r="F1" s="23" t="s">
        <v>0</v>
      </c>
      <c r="G1" s="24" t="s">
        <v>1</v>
      </c>
      <c r="H1" s="25" t="s">
        <v>78</v>
      </c>
    </row>
    <row r="4" spans="1:8" x14ac:dyDescent="0.25">
      <c r="A4" t="b">
        <f>AND(H4:H5)</f>
        <v>1</v>
      </c>
      <c r="B4" s="3" t="s">
        <v>5</v>
      </c>
      <c r="C4" s="3"/>
      <c r="F4" s="1" t="b">
        <v>1</v>
      </c>
      <c r="G4" s="2" t="b">
        <f>read_float(2)</f>
        <v>1</v>
      </c>
      <c r="H4" s="4" t="b">
        <f>F4=G4</f>
        <v>1</v>
      </c>
    </row>
    <row r="5" spans="1:8" x14ac:dyDescent="0.25">
      <c r="D5" s="4">
        <v>2</v>
      </c>
      <c r="F5" s="1" t="b">
        <v>1</v>
      </c>
      <c r="G5" s="2" t="b">
        <f>read_float(D5)</f>
        <v>1</v>
      </c>
      <c r="H5" s="4" t="b">
        <f>F5=G5</f>
        <v>1</v>
      </c>
    </row>
    <row r="7" spans="1:8" x14ac:dyDescent="0.25">
      <c r="A7" t="b">
        <f>H7</f>
        <v>1</v>
      </c>
      <c r="B7" s="3" t="s">
        <v>6</v>
      </c>
      <c r="C7" s="3"/>
      <c r="F7" s="1">
        <v>2</v>
      </c>
      <c r="G7" s="2">
        <f>write_float()</f>
        <v>2</v>
      </c>
      <c r="H7" s="4" t="b">
        <f>F7=G7</f>
        <v>1</v>
      </c>
    </row>
    <row r="8" spans="1:8" x14ac:dyDescent="0.25">
      <c r="B8" s="4"/>
      <c r="C8" s="4"/>
      <c r="F8" s="4"/>
      <c r="G8" s="4"/>
    </row>
    <row r="9" spans="1:8" x14ac:dyDescent="0.25">
      <c r="A9" t="b">
        <f>AND(H9:H10)</f>
        <v>1</v>
      </c>
      <c r="B9" s="3" t="s">
        <v>7</v>
      </c>
      <c r="C9" s="3"/>
      <c r="F9" s="1" t="b">
        <v>1</v>
      </c>
      <c r="G9" s="2" t="b">
        <f>read_string("xlwings")</f>
        <v>1</v>
      </c>
      <c r="H9" s="4" t="b">
        <f>F9=G9</f>
        <v>1</v>
      </c>
    </row>
    <row r="10" spans="1:8" x14ac:dyDescent="0.25">
      <c r="D10" s="13" t="s">
        <v>2</v>
      </c>
      <c r="F10" s="1" t="b">
        <v>1</v>
      </c>
      <c r="G10" s="2" t="b">
        <f>read_string(D10)</f>
        <v>1</v>
      </c>
      <c r="H10" s="4" t="b">
        <f>F10=G10</f>
        <v>1</v>
      </c>
    </row>
    <row r="11" spans="1:8" x14ac:dyDescent="0.25">
      <c r="B11" s="4"/>
      <c r="C11" s="4"/>
      <c r="F11" s="4"/>
      <c r="G11" s="4"/>
    </row>
    <row r="12" spans="1:8" x14ac:dyDescent="0.25">
      <c r="A12" t="b">
        <f>H12</f>
        <v>1</v>
      </c>
      <c r="B12" s="3" t="s">
        <v>8</v>
      </c>
      <c r="C12" s="3"/>
      <c r="F12" s="1" t="s">
        <v>2</v>
      </c>
      <c r="G12" s="2" t="str">
        <f>write_string()</f>
        <v>xlwings</v>
      </c>
      <c r="H12" s="4" t="b">
        <f>F12=G12</f>
        <v>1</v>
      </c>
    </row>
    <row r="14" spans="1:8" x14ac:dyDescent="0.25">
      <c r="A14" t="b">
        <f>H14</f>
        <v>1</v>
      </c>
      <c r="B14" s="3" t="s">
        <v>9</v>
      </c>
      <c r="C14" s="3"/>
      <c r="F14" s="1" t="b">
        <v>1</v>
      </c>
      <c r="G14" s="2" t="b">
        <f>read_empty(B15)</f>
        <v>1</v>
      </c>
      <c r="H14" s="4" t="b">
        <f>F14=G14</f>
        <v>1</v>
      </c>
    </row>
    <row r="15" spans="1:8" x14ac:dyDescent="0.25">
      <c r="B15" s="4"/>
      <c r="C15" s="4"/>
    </row>
    <row r="16" spans="1:8" x14ac:dyDescent="0.25">
      <c r="A16" t="b">
        <f>H16</f>
        <v>1</v>
      </c>
      <c r="B16" s="3" t="s">
        <v>10</v>
      </c>
      <c r="C16" s="3"/>
      <c r="D16" s="5">
        <v>42019</v>
      </c>
      <c r="F16" s="1" t="b">
        <v>1</v>
      </c>
      <c r="G16" s="2" t="b">
        <f>read_date(D16)</f>
        <v>1</v>
      </c>
      <c r="H16" s="4" t="b">
        <f>F16=G16</f>
        <v>1</v>
      </c>
    </row>
    <row r="18" spans="1:10" x14ac:dyDescent="0.25">
      <c r="A18" t="b">
        <f>H18</f>
        <v>1</v>
      </c>
      <c r="B18" s="3" t="s">
        <v>11</v>
      </c>
      <c r="C18" s="3"/>
      <c r="D18" s="5"/>
      <c r="F18" s="7">
        <v>25568</v>
      </c>
      <c r="G18" s="8">
        <f>write_date()</f>
        <v>25568</v>
      </c>
      <c r="H18" s="4" t="b">
        <f>F18=G18</f>
        <v>1</v>
      </c>
    </row>
    <row r="19" spans="1:10" x14ac:dyDescent="0.25">
      <c r="D19" s="5"/>
    </row>
    <row r="20" spans="1:10" x14ac:dyDescent="0.25">
      <c r="A20" t="b">
        <f>H20</f>
        <v>1</v>
      </c>
      <c r="B20" s="3" t="s">
        <v>12</v>
      </c>
      <c r="C20" s="3"/>
      <c r="D20" s="11">
        <v>27805.546087962965</v>
      </c>
      <c r="F20" s="1" t="b">
        <v>1</v>
      </c>
      <c r="G20" s="2" t="b">
        <f>read_datetime(D20)</f>
        <v>1</v>
      </c>
      <c r="H20" s="4" t="b">
        <f>F20=G20</f>
        <v>1</v>
      </c>
    </row>
    <row r="21" spans="1:10" x14ac:dyDescent="0.25">
      <c r="D21" s="5"/>
      <c r="F21" s="5"/>
      <c r="G21" s="5"/>
    </row>
    <row r="22" spans="1:10" x14ac:dyDescent="0.25">
      <c r="A22" t="b">
        <f>H22</f>
        <v>1</v>
      </c>
      <c r="B22" s="3" t="s">
        <v>13</v>
      </c>
      <c r="C22" s="3"/>
      <c r="D22" s="5"/>
      <c r="F22" s="21">
        <v>27805.546099537038</v>
      </c>
      <c r="G22" s="22">
        <f>write_datetime()</f>
        <v>27805.546099537038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14</v>
      </c>
      <c r="C24" s="3"/>
      <c r="D24" s="4">
        <v>1</v>
      </c>
      <c r="E24">
        <v>2</v>
      </c>
      <c r="F24" s="1" t="b">
        <v>1</v>
      </c>
      <c r="G24" s="2" t="b">
        <f>read_horizontal_list(D24:E24)</f>
        <v>1</v>
      </c>
      <c r="H24" s="4" t="b">
        <f>F24=G24</f>
        <v>1</v>
      </c>
    </row>
    <row r="26" spans="1:10" x14ac:dyDescent="0.25">
      <c r="A26" t="b">
        <f>AND(I26:J26)</f>
        <v>1</v>
      </c>
      <c r="B26" s="3" t="s">
        <v>15</v>
      </c>
      <c r="C26" s="3"/>
      <c r="E26" s="1">
        <v>1</v>
      </c>
      <c r="F26" s="1">
        <v>2</v>
      </c>
      <c r="G26" s="2">
        <f t="array" ref="G26:H26">write_horizontal_list()</f>
        <v>1</v>
      </c>
      <c r="H26" s="2">
        <v>2</v>
      </c>
      <c r="I26" t="b">
        <f>E26=G26</f>
        <v>1</v>
      </c>
      <c r="J26" t="b">
        <f>F26=H26</f>
        <v>1</v>
      </c>
    </row>
    <row r="27" spans="1:10" x14ac:dyDescent="0.25">
      <c r="D27" s="4"/>
    </row>
    <row r="28" spans="1:10" x14ac:dyDescent="0.25">
      <c r="A28" t="b">
        <f>H28</f>
        <v>1</v>
      </c>
      <c r="B28" s="3" t="s">
        <v>16</v>
      </c>
      <c r="C28" s="3"/>
      <c r="D28" s="4">
        <v>1</v>
      </c>
      <c r="F28" s="1" t="b">
        <v>1</v>
      </c>
      <c r="G28" s="2" t="b">
        <f>read_vertical_list(D28:D29)</f>
        <v>1</v>
      </c>
      <c r="H28" t="b">
        <f>G28=F28</f>
        <v>1</v>
      </c>
    </row>
    <row r="29" spans="1:10" x14ac:dyDescent="0.25">
      <c r="D29" s="4">
        <v>2</v>
      </c>
      <c r="F29" s="4"/>
      <c r="G29" s="4"/>
    </row>
    <row r="31" spans="1:10" x14ac:dyDescent="0.25">
      <c r="A31" t="b">
        <f>AND(H31:H32)</f>
        <v>1</v>
      </c>
      <c r="B31" s="6" t="s">
        <v>17</v>
      </c>
      <c r="C31" s="6"/>
      <c r="F31" s="1">
        <v>1</v>
      </c>
      <c r="G31" s="2">
        <f t="array" ref="G31:G32">write_vertical_list()</f>
        <v>1</v>
      </c>
      <c r="H31" t="b">
        <f>G31=F31</f>
        <v>1</v>
      </c>
    </row>
    <row r="32" spans="1:10" x14ac:dyDescent="0.25">
      <c r="B32" s="4"/>
      <c r="C32" s="4"/>
      <c r="F32" s="1">
        <v>2</v>
      </c>
      <c r="G32" s="2">
        <v>2</v>
      </c>
      <c r="H32" t="b">
        <f>G32=F32</f>
        <v>1</v>
      </c>
    </row>
    <row r="33" spans="1:10" s="4" customFormat="1" x14ac:dyDescent="0.25"/>
    <row r="34" spans="1:10" s="4" customFormat="1" x14ac:dyDescent="0.25">
      <c r="A34" s="4" t="b">
        <f>H34</f>
        <v>1</v>
      </c>
      <c r="B34" s="6" t="s">
        <v>18</v>
      </c>
      <c r="C34" s="6"/>
      <c r="D34" s="4">
        <v>1</v>
      </c>
      <c r="E34" s="4">
        <v>2</v>
      </c>
      <c r="F34" s="1" t="b">
        <v>1</v>
      </c>
      <c r="G34" s="2" t="b">
        <f>read_2dlist(D34:E35)</f>
        <v>1</v>
      </c>
      <c r="H34" s="4" t="b">
        <f>G34=F34</f>
        <v>1</v>
      </c>
    </row>
    <row r="35" spans="1:10" s="4" customFormat="1" x14ac:dyDescent="0.25">
      <c r="D35" s="4">
        <v>3</v>
      </c>
      <c r="E35" s="4">
        <v>4</v>
      </c>
    </row>
    <row r="36" spans="1:10" s="4" customFormat="1" x14ac:dyDescent="0.25"/>
    <row r="37" spans="1:10" s="4" customFormat="1" x14ac:dyDescent="0.25">
      <c r="A37" s="4" t="b">
        <f>AND(I37:J38)</f>
        <v>1</v>
      </c>
      <c r="B37" s="6" t="s">
        <v>19</v>
      </c>
      <c r="C37" s="6"/>
      <c r="E37" s="1">
        <v>1</v>
      </c>
      <c r="F37" s="1">
        <v>2</v>
      </c>
      <c r="G37" s="2">
        <f t="array" ref="G37:H38">write_2dlist()</f>
        <v>1</v>
      </c>
      <c r="H37" s="2">
        <v>2</v>
      </c>
      <c r="I37" s="4" t="b">
        <f>G37=E37</f>
        <v>1</v>
      </c>
      <c r="J37" s="4" t="b">
        <f>H37=F37</f>
        <v>1</v>
      </c>
    </row>
    <row r="38" spans="1:10" s="4" customFormat="1" x14ac:dyDescent="0.25">
      <c r="E38" s="1">
        <v>3</v>
      </c>
      <c r="F38" s="1">
        <v>4</v>
      </c>
      <c r="G38" s="2">
        <v>3</v>
      </c>
      <c r="H38" s="2">
        <v>4</v>
      </c>
      <c r="I38" s="4" t="b">
        <f>G38=E38</f>
        <v>1</v>
      </c>
      <c r="J38" s="4" t="b">
        <f>H38=F38</f>
        <v>1</v>
      </c>
    </row>
    <row r="39" spans="1:10" s="4" customFormat="1" x14ac:dyDescent="0.25"/>
    <row r="40" spans="1:10" x14ac:dyDescent="0.25">
      <c r="A40" t="b">
        <f>H40</f>
        <v>1</v>
      </c>
      <c r="B40" s="3" t="s">
        <v>20</v>
      </c>
      <c r="C40" s="3"/>
      <c r="D40">
        <v>2</v>
      </c>
      <c r="F40" s="1" t="b">
        <v>1</v>
      </c>
      <c r="G40" s="2" t="b">
        <f>read_ndim1(D40)</f>
        <v>1</v>
      </c>
      <c r="H40" t="b">
        <f>G40=F40</f>
        <v>1</v>
      </c>
    </row>
    <row r="42" spans="1:10" x14ac:dyDescent="0.25">
      <c r="A42" t="b">
        <f>H42</f>
        <v>1</v>
      </c>
      <c r="B42" s="3" t="s">
        <v>21</v>
      </c>
      <c r="C42" s="3"/>
      <c r="D42">
        <v>2</v>
      </c>
      <c r="F42" s="1" t="b">
        <v>1</v>
      </c>
      <c r="G42" s="2" t="b">
        <f>read_ndim2(D42)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22</v>
      </c>
      <c r="C44" s="3"/>
      <c r="D44">
        <v>1</v>
      </c>
      <c r="E44">
        <v>2</v>
      </c>
      <c r="F44" s="1" t="b">
        <v>1</v>
      </c>
      <c r="G44" s="2" t="b">
        <f>read_transpose(D44:E45)</f>
        <v>1</v>
      </c>
      <c r="H44" t="b">
        <f>G44=F44</f>
        <v>1</v>
      </c>
    </row>
    <row r="45" spans="1:10" x14ac:dyDescent="0.25">
      <c r="D45">
        <v>3</v>
      </c>
      <c r="E45">
        <v>4</v>
      </c>
    </row>
    <row r="47" spans="1:10" x14ac:dyDescent="0.25">
      <c r="A47" t="b">
        <f>AND(I47:J48)</f>
        <v>1</v>
      </c>
      <c r="B47" s="3" t="s">
        <v>23</v>
      </c>
      <c r="C47" s="3"/>
      <c r="E47" s="1">
        <v>1</v>
      </c>
      <c r="F47" s="1">
        <v>3</v>
      </c>
      <c r="G47" s="2">
        <f t="array" ref="G47:H48">write_transpose()</f>
        <v>1</v>
      </c>
      <c r="H47" s="2">
        <v>3</v>
      </c>
      <c r="I47" t="b">
        <f>G47=E47</f>
        <v>1</v>
      </c>
      <c r="J47" t="b">
        <f>H47=F47</f>
        <v>1</v>
      </c>
    </row>
    <row r="48" spans="1:10" x14ac:dyDescent="0.25">
      <c r="E48" s="1">
        <v>2</v>
      </c>
      <c r="F48" s="1">
        <v>4</v>
      </c>
      <c r="G48" s="2">
        <v>2</v>
      </c>
      <c r="H48" s="2">
        <v>4</v>
      </c>
      <c r="I48" t="b">
        <f>G48=E48</f>
        <v>1</v>
      </c>
      <c r="J48" t="b">
        <f>H48=F48</f>
        <v>1</v>
      </c>
    </row>
    <row r="49" spans="1:8" x14ac:dyDescent="0.25">
      <c r="F49" s="4"/>
      <c r="G49" s="4"/>
    </row>
    <row r="50" spans="1:8" x14ac:dyDescent="0.25">
      <c r="A50" t="b">
        <f>H50</f>
        <v>1</v>
      </c>
      <c r="B50" s="3" t="s">
        <v>24</v>
      </c>
      <c r="C50" s="3"/>
      <c r="D50">
        <v>1</v>
      </c>
      <c r="E50" s="9">
        <v>42017</v>
      </c>
      <c r="F50" s="1" t="b">
        <v>1</v>
      </c>
      <c r="G50" s="2" t="b">
        <f>read_dates_as1(D50:E51)</f>
        <v>1</v>
      </c>
      <c r="H50" t="b">
        <f>G50=F50</f>
        <v>1</v>
      </c>
    </row>
    <row r="51" spans="1:8" x14ac:dyDescent="0.25">
      <c r="D51" s="9">
        <v>36861</v>
      </c>
      <c r="E51" s="10">
        <v>4</v>
      </c>
    </row>
    <row r="52" spans="1:8" x14ac:dyDescent="0.25">
      <c r="D52" s="9"/>
      <c r="E52" s="10"/>
    </row>
    <row r="53" spans="1:8" x14ac:dyDescent="0.25">
      <c r="A53" t="b">
        <f>H53</f>
        <v>1</v>
      </c>
      <c r="B53" s="3" t="s">
        <v>25</v>
      </c>
      <c r="C53" s="3"/>
      <c r="D53" s="9"/>
      <c r="E53" s="11">
        <v>38367.541666666664</v>
      </c>
      <c r="F53" s="1" t="b">
        <v>1</v>
      </c>
      <c r="G53" s="2" t="b">
        <f>read_dates_as2(E53)</f>
        <v>1</v>
      </c>
      <c r="H53" t="b">
        <f>G53=F53</f>
        <v>1</v>
      </c>
    </row>
    <row r="54" spans="1:8" x14ac:dyDescent="0.25">
      <c r="D54" s="9"/>
      <c r="E54" s="10"/>
    </row>
    <row r="56" spans="1:8" x14ac:dyDescent="0.25">
      <c r="A56" t="b">
        <f>H56</f>
        <v>1</v>
      </c>
      <c r="B56" s="3" t="s">
        <v>26</v>
      </c>
      <c r="C56" s="3"/>
      <c r="D56">
        <v>1</v>
      </c>
      <c r="E56" s="9">
        <v>42017</v>
      </c>
      <c r="F56" s="1" t="b">
        <v>1</v>
      </c>
      <c r="G56" s="2" t="b">
        <f>read_dates_as3(D56:E57)</f>
        <v>1</v>
      </c>
      <c r="H56" t="b">
        <f>G56=F56</f>
        <v>1</v>
      </c>
    </row>
    <row r="57" spans="1:8" x14ac:dyDescent="0.25">
      <c r="D57" s="9">
        <v>36861</v>
      </c>
      <c r="E57" s="10">
        <v>4</v>
      </c>
    </row>
    <row r="59" spans="1:8" x14ac:dyDescent="0.25">
      <c r="A59" t="b">
        <f>H59</f>
        <v>1</v>
      </c>
      <c r="B59" s="3" t="s">
        <v>27</v>
      </c>
      <c r="C59" s="3"/>
      <c r="D59">
        <v>1</v>
      </c>
      <c r="E59" s="9"/>
      <c r="F59" s="1" t="b">
        <v>1</v>
      </c>
      <c r="G59" s="2" t="b">
        <f>read_empty_as(D59:E60)</f>
        <v>1</v>
      </c>
      <c r="H59" t="b">
        <f>G59=F59</f>
        <v>1</v>
      </c>
    </row>
    <row r="60" spans="1:8" x14ac:dyDescent="0.25">
      <c r="D60" s="9"/>
      <c r="E60" s="10">
        <v>4</v>
      </c>
    </row>
    <row r="61" spans="1:8" x14ac:dyDescent="0.25">
      <c r="D61" s="9"/>
      <c r="E61" s="10"/>
    </row>
    <row r="62" spans="1:8" x14ac:dyDescent="0.25">
      <c r="A62" t="b">
        <f>H62</f>
        <v>1</v>
      </c>
      <c r="B62" s="3" t="s">
        <v>50</v>
      </c>
      <c r="C62" s="3"/>
      <c r="D62" s="12" t="s">
        <v>51</v>
      </c>
      <c r="E62" s="12">
        <v>1</v>
      </c>
      <c r="F62" s="1" t="b">
        <v>1</v>
      </c>
      <c r="G62" s="2" t="b">
        <f>read_dict(D62:E63)</f>
        <v>1</v>
      </c>
      <c r="H62" t="b">
        <f>G62=F62</f>
        <v>1</v>
      </c>
    </row>
    <row r="63" spans="1:8" x14ac:dyDescent="0.25">
      <c r="D63" s="12" t="s">
        <v>52</v>
      </c>
      <c r="E63" s="12" t="s">
        <v>53</v>
      </c>
    </row>
    <row r="65" spans="1:10" x14ac:dyDescent="0.25">
      <c r="A65" t="b">
        <f>H65</f>
        <v>1</v>
      </c>
      <c r="B65" s="3" t="s">
        <v>54</v>
      </c>
      <c r="C65" s="3"/>
      <c r="D65" s="12" t="s">
        <v>51</v>
      </c>
      <c r="E65" s="12">
        <v>1</v>
      </c>
      <c r="F65" s="1" t="b">
        <v>1</v>
      </c>
      <c r="G65" s="2" t="b">
        <f>read_dict_transpose(D65:E66)</f>
        <v>1</v>
      </c>
      <c r="H65" t="b">
        <f>G65=F65</f>
        <v>1</v>
      </c>
    </row>
    <row r="66" spans="1:10" x14ac:dyDescent="0.25">
      <c r="D66" s="12" t="s">
        <v>52</v>
      </c>
      <c r="E66" s="12" t="s">
        <v>53</v>
      </c>
    </row>
    <row r="68" spans="1:10" x14ac:dyDescent="0.25">
      <c r="A68" t="b">
        <f>AND(I68:J69)</f>
        <v>1</v>
      </c>
      <c r="B68" s="3" t="s">
        <v>55</v>
      </c>
      <c r="C68" s="3"/>
      <c r="E68" s="15" t="s">
        <v>51</v>
      </c>
      <c r="F68" s="15">
        <v>1</v>
      </c>
      <c r="G68" s="16" t="str">
        <f t="array" ref="G68:H69">write_dict()</f>
        <v>b</v>
      </c>
      <c r="H68" s="16" t="str">
        <v>c</v>
      </c>
      <c r="I68" t="b">
        <f>OR(G68=E68,G68=E69)</f>
        <v>1</v>
      </c>
      <c r="J68" t="b">
        <f>OR(H68=F68,H68=F69)</f>
        <v>1</v>
      </c>
    </row>
    <row r="69" spans="1:10" x14ac:dyDescent="0.25">
      <c r="E69" s="15" t="s">
        <v>52</v>
      </c>
      <c r="F69" s="15" t="s">
        <v>53</v>
      </c>
      <c r="G69" s="16" t="str">
        <v>a</v>
      </c>
      <c r="H69" s="16">
        <v>1</v>
      </c>
      <c r="I69" t="b">
        <f>OR(G69=E69,G69=E68)</f>
        <v>1</v>
      </c>
      <c r="J69" t="b">
        <f>OR(H69=F69,F68)</f>
        <v>1</v>
      </c>
    </row>
    <row r="71" spans="1:10" x14ac:dyDescent="0.25">
      <c r="A71" t="b">
        <f>H71</f>
        <v>1</v>
      </c>
      <c r="B71" s="3" t="s">
        <v>28</v>
      </c>
      <c r="C71" s="3"/>
      <c r="D71">
        <v>1</v>
      </c>
      <c r="F71" s="1" t="b">
        <v>1</v>
      </c>
      <c r="G71" s="2" t="b">
        <f>read_scalar_nparray(D71)</f>
        <v>1</v>
      </c>
      <c r="H71" t="b">
        <f>G71=F71</f>
        <v>1</v>
      </c>
    </row>
    <row r="72" spans="1:10" x14ac:dyDescent="0.25">
      <c r="B72" s="3"/>
      <c r="C72" s="3"/>
      <c r="F72" s="4"/>
      <c r="G72" s="4"/>
    </row>
    <row r="73" spans="1:10" x14ac:dyDescent="0.25">
      <c r="A73" t="b">
        <f>H73</f>
        <v>1</v>
      </c>
      <c r="B73" s="3" t="s">
        <v>29</v>
      </c>
      <c r="C73" s="3"/>
      <c r="F73" s="1" t="b">
        <v>1</v>
      </c>
      <c r="G73" s="2" t="b">
        <f>read_empty_nparray(D74)</f>
        <v>1</v>
      </c>
      <c r="H73" t="b">
        <f>G73=F73</f>
        <v>1</v>
      </c>
    </row>
    <row r="74" spans="1:10" x14ac:dyDescent="0.25">
      <c r="B74" s="3"/>
      <c r="C74" s="3"/>
    </row>
    <row r="75" spans="1:10" x14ac:dyDescent="0.25">
      <c r="A75" t="b">
        <f>H75</f>
        <v>1</v>
      </c>
      <c r="B75" s="3" t="s">
        <v>30</v>
      </c>
      <c r="C75" s="3"/>
      <c r="D75">
        <v>1</v>
      </c>
      <c r="E75">
        <v>2</v>
      </c>
      <c r="F75" s="1" t="b">
        <v>1</v>
      </c>
      <c r="G75" s="2" t="b">
        <f>read_horizontal_nparray(D75:E75)</f>
        <v>1</v>
      </c>
      <c r="H75" t="b">
        <f>G75=F75</f>
        <v>1</v>
      </c>
    </row>
    <row r="77" spans="1:10" x14ac:dyDescent="0.25">
      <c r="A77" t="b">
        <f>H77</f>
        <v>1</v>
      </c>
      <c r="B77" s="3" t="s">
        <v>31</v>
      </c>
      <c r="C77" s="3"/>
      <c r="D77">
        <v>1</v>
      </c>
      <c r="F77" s="1" t="b">
        <v>1</v>
      </c>
      <c r="G77" s="2" t="b">
        <f>read_vertical_nparray(D77:D78)</f>
        <v>1</v>
      </c>
      <c r="H77" t="b">
        <f>G77=F77</f>
        <v>1</v>
      </c>
    </row>
    <row r="78" spans="1:10" x14ac:dyDescent="0.25">
      <c r="D78">
        <v>2</v>
      </c>
    </row>
    <row r="80" spans="1:10" x14ac:dyDescent="0.25">
      <c r="A80" t="b">
        <f>H80</f>
        <v>1</v>
      </c>
      <c r="B80" s="3" t="s">
        <v>32</v>
      </c>
      <c r="C80" s="3"/>
      <c r="D80">
        <v>2</v>
      </c>
      <c r="F80" s="1" t="b">
        <v>1</v>
      </c>
      <c r="G80" s="2" t="b">
        <f>read_ndim1_nparray(D80)</f>
        <v>1</v>
      </c>
      <c r="H80" t="b">
        <f>G80=F80</f>
        <v>1</v>
      </c>
    </row>
    <row r="82" spans="1:10" x14ac:dyDescent="0.25">
      <c r="A82" t="b">
        <f>H82</f>
        <v>1</v>
      </c>
      <c r="B82" s="3" t="s">
        <v>33</v>
      </c>
      <c r="C82" s="3"/>
      <c r="D82">
        <v>2</v>
      </c>
      <c r="F82" s="1" t="b">
        <v>1</v>
      </c>
      <c r="G82" s="2" t="b">
        <f>read_ndim2_nparray(D82)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34</v>
      </c>
      <c r="C84" s="3"/>
      <c r="D84">
        <v>1</v>
      </c>
      <c r="E84">
        <v>2</v>
      </c>
      <c r="F84" s="1" t="b">
        <v>1</v>
      </c>
      <c r="G84" s="2" t="b">
        <f>read_transpose_nparray(D84:E85)</f>
        <v>1</v>
      </c>
      <c r="H84" t="b">
        <f>G84=F84</f>
        <v>1</v>
      </c>
    </row>
    <row r="85" spans="1:10" x14ac:dyDescent="0.25">
      <c r="D85">
        <v>3</v>
      </c>
      <c r="E85">
        <v>4</v>
      </c>
    </row>
    <row r="87" spans="1:10" x14ac:dyDescent="0.25">
      <c r="A87" t="b">
        <f>AND(I87:J88)</f>
        <v>1</v>
      </c>
      <c r="B87" s="3" t="s">
        <v>35</v>
      </c>
      <c r="C87" s="3"/>
      <c r="E87" s="1">
        <v>1</v>
      </c>
      <c r="F87" s="1">
        <v>3</v>
      </c>
      <c r="G87" s="2">
        <f t="array" ref="G87:H88">write_transpose_nparray()</f>
        <v>1</v>
      </c>
      <c r="H87" s="2">
        <v>3</v>
      </c>
      <c r="I87" t="b">
        <f>G87=E87</f>
        <v>1</v>
      </c>
      <c r="J87" t="b">
        <f>H87=F87</f>
        <v>1</v>
      </c>
    </row>
    <row r="88" spans="1:10" x14ac:dyDescent="0.25">
      <c r="E88" s="1">
        <v>2</v>
      </c>
      <c r="F88" s="1">
        <v>4</v>
      </c>
      <c r="G88" s="2">
        <v>2</v>
      </c>
      <c r="H88" s="2">
        <v>4</v>
      </c>
      <c r="I88" t="b">
        <f>G88=E88</f>
        <v>1</v>
      </c>
      <c r="J88" t="b">
        <f>H88=F88</f>
        <v>1</v>
      </c>
    </row>
    <row r="90" spans="1:10" x14ac:dyDescent="0.25">
      <c r="A90" t="b">
        <f>H90</f>
        <v>1</v>
      </c>
      <c r="B90" s="3" t="s">
        <v>36</v>
      </c>
      <c r="C90" s="3"/>
      <c r="D90" s="9">
        <v>36880</v>
      </c>
      <c r="F90" s="1" t="b">
        <v>1</v>
      </c>
      <c r="G90" s="2" t="b">
        <f>read_date_nparray(D90)</f>
        <v>1</v>
      </c>
      <c r="H90" t="b">
        <f>G90=F90</f>
        <v>1</v>
      </c>
    </row>
    <row r="92" spans="1:10" x14ac:dyDescent="0.25">
      <c r="A92" t="b">
        <f>H92</f>
        <v>1</v>
      </c>
      <c r="B92" s="3" t="s">
        <v>37</v>
      </c>
      <c r="C92" s="3"/>
      <c r="D92" s="9">
        <v>36880</v>
      </c>
      <c r="F92" s="1" t="b">
        <v>1</v>
      </c>
      <c r="G92" s="2" t="b">
        <f>read_dates_as_nparray(D92)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38</v>
      </c>
      <c r="C94" s="3"/>
      <c r="F94" s="1" t="b">
        <v>1</v>
      </c>
      <c r="G94" s="2" t="b">
        <f>read_empty_as_nparray(D95)</f>
        <v>1</v>
      </c>
      <c r="H94" t="b">
        <f>G94=F94</f>
        <v>1</v>
      </c>
    </row>
    <row r="95" spans="1:10" x14ac:dyDescent="0.25">
      <c r="D95" s="9"/>
    </row>
    <row r="96" spans="1:10" x14ac:dyDescent="0.25">
      <c r="A96" t="b">
        <f>H96</f>
        <v>1</v>
      </c>
      <c r="B96" s="3" t="s">
        <v>39</v>
      </c>
      <c r="C96" s="3"/>
      <c r="D96">
        <v>1</v>
      </c>
      <c r="F96" s="1" t="b">
        <v>1</v>
      </c>
      <c r="G96" s="2" t="b">
        <f>read_series_noheader_noindex(D96:D97)</f>
        <v>1</v>
      </c>
      <c r="H96" t="b">
        <f>G96=F96</f>
        <v>1</v>
      </c>
    </row>
    <row r="97" spans="1:8" x14ac:dyDescent="0.25">
      <c r="D97">
        <v>2</v>
      </c>
    </row>
    <row r="99" spans="1:8" x14ac:dyDescent="0.25">
      <c r="A99" t="b">
        <f>H99</f>
        <v>1</v>
      </c>
      <c r="B99" s="3" t="s">
        <v>39</v>
      </c>
      <c r="C99" s="3"/>
      <c r="D99">
        <v>10</v>
      </c>
      <c r="E99">
        <v>1</v>
      </c>
      <c r="F99" s="1" t="b">
        <v>1</v>
      </c>
      <c r="G99" s="2" t="b">
        <f>read_series_noheader_index(D99:E100)</f>
        <v>1</v>
      </c>
      <c r="H99" t="b">
        <f>G99=F99</f>
        <v>1</v>
      </c>
    </row>
    <row r="100" spans="1:8" x14ac:dyDescent="0.25">
      <c r="D100">
        <v>20</v>
      </c>
      <c r="E100">
        <v>2</v>
      </c>
    </row>
    <row r="102" spans="1:8" x14ac:dyDescent="0.25">
      <c r="A102" t="b">
        <f>H102</f>
        <v>1</v>
      </c>
      <c r="B102" s="3" t="s">
        <v>39</v>
      </c>
      <c r="C102" s="3"/>
      <c r="E102" s="12" t="s">
        <v>3</v>
      </c>
      <c r="F102" s="1" t="b">
        <v>1</v>
      </c>
      <c r="G102" s="2" t="b">
        <f>read_series_header_noindex(E102:E104)</f>
        <v>1</v>
      </c>
      <c r="H102" t="b">
        <f>G102=F102</f>
        <v>1</v>
      </c>
    </row>
    <row r="103" spans="1:8" x14ac:dyDescent="0.25">
      <c r="E103">
        <v>1</v>
      </c>
    </row>
    <row r="104" spans="1:8" x14ac:dyDescent="0.25">
      <c r="E104">
        <v>2</v>
      </c>
    </row>
    <row r="106" spans="1:8" x14ac:dyDescent="0.25">
      <c r="A106" t="b">
        <f>H106</f>
        <v>1</v>
      </c>
      <c r="B106" s="3" t="s">
        <v>40</v>
      </c>
      <c r="C106" s="3"/>
      <c r="D106" s="12" t="s">
        <v>4</v>
      </c>
      <c r="E106" s="12" t="s">
        <v>3</v>
      </c>
      <c r="F106" s="1" t="b">
        <v>1</v>
      </c>
      <c r="G106" s="2" t="b">
        <f>read_series_header_named_index(D106:E108)</f>
        <v>1</v>
      </c>
      <c r="H106" t="b">
        <f>G106=F106</f>
        <v>1</v>
      </c>
    </row>
    <row r="107" spans="1:8" x14ac:dyDescent="0.25">
      <c r="D107">
        <v>10</v>
      </c>
      <c r="E107">
        <v>1</v>
      </c>
    </row>
    <row r="108" spans="1:8" x14ac:dyDescent="0.25">
      <c r="D108">
        <v>20</v>
      </c>
      <c r="E108">
        <v>2</v>
      </c>
    </row>
    <row r="110" spans="1:8" x14ac:dyDescent="0.25">
      <c r="A110" t="b">
        <f>H110</f>
        <v>1</v>
      </c>
      <c r="B110" s="3" t="s">
        <v>41</v>
      </c>
      <c r="C110" s="3"/>
      <c r="E110" s="12" t="s">
        <v>3</v>
      </c>
      <c r="F110" s="1" t="b">
        <v>1</v>
      </c>
      <c r="G110" s="2" t="b">
        <f>read_series_header_nameless_index(D110:E112)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AND(H114:H115)</f>
        <v>1</v>
      </c>
      <c r="B114" s="3" t="s">
        <v>42</v>
      </c>
      <c r="C114" s="3"/>
      <c r="F114" s="1">
        <v>1</v>
      </c>
      <c r="G114" s="2">
        <f t="array" ref="G114:G115">write_series_noheader_noindex()</f>
        <v>1</v>
      </c>
      <c r="H114" t="b">
        <f t="shared" ref="H114:H115" si="0">G114=F114</f>
        <v>1</v>
      </c>
    </row>
    <row r="115" spans="1:10" x14ac:dyDescent="0.25">
      <c r="F115" s="1">
        <v>2</v>
      </c>
      <c r="G115" s="2">
        <v>2</v>
      </c>
      <c r="H115" t="b">
        <f t="shared" si="0"/>
        <v>1</v>
      </c>
    </row>
    <row r="117" spans="1:10" x14ac:dyDescent="0.25">
      <c r="A117" t="b">
        <f>AND(I117:J118)</f>
        <v>1</v>
      </c>
      <c r="B117" s="3" t="s">
        <v>43</v>
      </c>
      <c r="C117" s="3"/>
      <c r="E117" s="1">
        <v>10</v>
      </c>
      <c r="F117" s="1">
        <v>1</v>
      </c>
      <c r="G117" s="2">
        <f t="array" ref="G117:H118">write_series_noheader_index()</f>
        <v>10</v>
      </c>
      <c r="H117" s="2">
        <v>1</v>
      </c>
      <c r="I117" t="b">
        <f>G117=E117</f>
        <v>1</v>
      </c>
      <c r="J117" t="b">
        <f>H117=F117</f>
        <v>1</v>
      </c>
    </row>
    <row r="118" spans="1:10" x14ac:dyDescent="0.25">
      <c r="E118" s="1">
        <v>20</v>
      </c>
      <c r="F118" s="1">
        <v>2</v>
      </c>
      <c r="G118" s="2">
        <v>20</v>
      </c>
      <c r="H118" s="2">
        <v>2</v>
      </c>
      <c r="I118" t="b">
        <f>G118=E118</f>
        <v>1</v>
      </c>
      <c r="J118" t="b">
        <f>H118=F118</f>
        <v>1</v>
      </c>
    </row>
    <row r="120" spans="1:10" x14ac:dyDescent="0.25">
      <c r="A120" t="b">
        <f>AND(H120:H122)</f>
        <v>1</v>
      </c>
      <c r="B120" s="3" t="s">
        <v>44</v>
      </c>
      <c r="C120" s="3"/>
      <c r="F120" s="15" t="s">
        <v>3</v>
      </c>
      <c r="G120" s="16" t="str">
        <f t="array" ref="G120:G122">write_series_header_noindex()</f>
        <v>name</v>
      </c>
      <c r="H120" t="b">
        <f>F120=G120</f>
        <v>1</v>
      </c>
    </row>
    <row r="121" spans="1:10" x14ac:dyDescent="0.25">
      <c r="F121" s="15">
        <v>1</v>
      </c>
      <c r="G121" s="16">
        <v>1</v>
      </c>
      <c r="H121" t="b">
        <f>F121=G121</f>
        <v>1</v>
      </c>
    </row>
    <row r="122" spans="1:10" x14ac:dyDescent="0.25">
      <c r="F122" s="15">
        <v>2</v>
      </c>
      <c r="G122" s="16">
        <v>2</v>
      </c>
      <c r="H122" t="b">
        <f>F122=G122</f>
        <v>1</v>
      </c>
    </row>
    <row r="124" spans="1:10" x14ac:dyDescent="0.25">
      <c r="A124" t="b">
        <f>AND(I124:J126)</f>
        <v>1</v>
      </c>
      <c r="B124" s="3" t="s">
        <v>45</v>
      </c>
      <c r="C124" s="3"/>
      <c r="E124" s="15" t="s">
        <v>4</v>
      </c>
      <c r="F124" s="15" t="s">
        <v>3</v>
      </c>
      <c r="G124" s="16" t="str">
        <f t="array" ref="G124:H126">write_series_header_named_index()</f>
        <v>ix</v>
      </c>
      <c r="H124" s="16" t="str">
        <v>name</v>
      </c>
      <c r="I124" t="b">
        <f>G124=E124</f>
        <v>1</v>
      </c>
      <c r="J124" t="b">
        <f>H124=F124</f>
        <v>1</v>
      </c>
    </row>
    <row r="125" spans="1:10" x14ac:dyDescent="0.25">
      <c r="E125" s="15">
        <v>10</v>
      </c>
      <c r="F125" s="15">
        <v>1</v>
      </c>
      <c r="G125" s="16">
        <v>10</v>
      </c>
      <c r="H125" s="16">
        <v>1</v>
      </c>
      <c r="I125" t="b">
        <f t="shared" ref="I125:J126" si="1">G125=E125</f>
        <v>1</v>
      </c>
      <c r="J125" t="b">
        <f t="shared" si="1"/>
        <v>1</v>
      </c>
    </row>
    <row r="126" spans="1:10" x14ac:dyDescent="0.25">
      <c r="E126" s="15">
        <v>20</v>
      </c>
      <c r="F126" s="15">
        <v>2</v>
      </c>
      <c r="G126" s="16">
        <v>20</v>
      </c>
      <c r="H126" s="16">
        <v>2</v>
      </c>
      <c r="I126" t="b">
        <f t="shared" si="1"/>
        <v>1</v>
      </c>
      <c r="J126" t="b">
        <f t="shared" si="1"/>
        <v>1</v>
      </c>
    </row>
    <row r="128" spans="1:10" x14ac:dyDescent="0.25">
      <c r="A128" t="b">
        <f>AND(I128:J130)</f>
        <v>1</v>
      </c>
      <c r="B128" s="3" t="s">
        <v>46</v>
      </c>
      <c r="C128" s="3"/>
      <c r="E128" s="1"/>
      <c r="F128" s="1" t="s">
        <v>3</v>
      </c>
      <c r="G128" s="2" t="str">
        <f t="array" ref="G128:H130">write_series_header_nameless_index()</f>
        <v/>
      </c>
      <c r="H128" s="2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">
        <v>10</v>
      </c>
      <c r="F129" s="1">
        <v>1</v>
      </c>
      <c r="G129" s="2">
        <v>10</v>
      </c>
      <c r="H129" s="2">
        <v>1</v>
      </c>
      <c r="I129" t="b">
        <f t="shared" ref="I129:I130" si="2">G129=E129</f>
        <v>1</v>
      </c>
      <c r="J129" t="b">
        <f t="shared" ref="J129:J130" si="3">H129=F129</f>
        <v>1</v>
      </c>
    </row>
    <row r="130" spans="1:10" x14ac:dyDescent="0.25">
      <c r="E130" s="1">
        <v>20</v>
      </c>
      <c r="F130" s="1">
        <v>2</v>
      </c>
      <c r="G130" s="2">
        <v>20</v>
      </c>
      <c r="H130" s="2">
        <v>2</v>
      </c>
      <c r="I130" t="b">
        <f t="shared" si="2"/>
        <v>1</v>
      </c>
      <c r="J130" t="b">
        <f t="shared" si="3"/>
        <v>1</v>
      </c>
    </row>
    <row r="132" spans="1:10" x14ac:dyDescent="0.25">
      <c r="A132" t="b">
        <f>H132</f>
        <v>1</v>
      </c>
      <c r="B132" s="3" t="s">
        <v>47</v>
      </c>
      <c r="C132" s="3"/>
      <c r="E132" s="12" t="s">
        <v>48</v>
      </c>
      <c r="F132" s="1" t="b">
        <v>1</v>
      </c>
      <c r="G132" s="2" t="b">
        <f>read_timeseries(D132:E134)</f>
        <v>1</v>
      </c>
      <c r="H132" t="b">
        <f>G132=F132</f>
        <v>1</v>
      </c>
    </row>
    <row r="133" spans="1:10" x14ac:dyDescent="0.25">
      <c r="D133" s="9">
        <v>36880</v>
      </c>
      <c r="E133" s="10">
        <v>1.5</v>
      </c>
    </row>
    <row r="134" spans="1:10" x14ac:dyDescent="0.25">
      <c r="D134" s="9">
        <v>36881</v>
      </c>
      <c r="E134" s="10">
        <v>2.5</v>
      </c>
    </row>
    <row r="135" spans="1:10" x14ac:dyDescent="0.25">
      <c r="D135" s="9"/>
      <c r="E135" s="10"/>
    </row>
    <row r="136" spans="1:10" x14ac:dyDescent="0.25">
      <c r="A136" t="b">
        <f>AND(I136:J138)</f>
        <v>1</v>
      </c>
      <c r="B136" s="3" t="s">
        <v>49</v>
      </c>
      <c r="C136" s="3"/>
      <c r="E136" s="15"/>
      <c r="F136" s="15" t="s">
        <v>48</v>
      </c>
      <c r="G136" s="16" t="str">
        <f t="array" ref="G136:H138">write_timeseries()</f>
        <v/>
      </c>
      <c r="H136" s="16" t="str">
        <v>ts</v>
      </c>
      <c r="I136" t="b">
        <f>G136=E136</f>
        <v>1</v>
      </c>
      <c r="J136" t="b">
        <f>H136=F136</f>
        <v>1</v>
      </c>
    </row>
    <row r="137" spans="1:10" x14ac:dyDescent="0.25">
      <c r="E137" s="17">
        <v>36880</v>
      </c>
      <c r="F137" s="19">
        <v>1.5</v>
      </c>
      <c r="G137" s="18">
        <v>36880</v>
      </c>
      <c r="H137" s="16">
        <v>1.5</v>
      </c>
      <c r="I137" t="b">
        <f t="shared" ref="I137:I138" si="4">G137=E137</f>
        <v>1</v>
      </c>
      <c r="J137" t="b">
        <f t="shared" ref="J137:J138" si="5">H137=F137</f>
        <v>1</v>
      </c>
    </row>
    <row r="138" spans="1:10" x14ac:dyDescent="0.25">
      <c r="E138" s="17">
        <v>36881</v>
      </c>
      <c r="F138" s="19">
        <v>2.5</v>
      </c>
      <c r="G138" s="18">
        <v>36881</v>
      </c>
      <c r="H138" s="16">
        <v>2.5</v>
      </c>
      <c r="I138" t="b">
        <f t="shared" si="4"/>
        <v>1</v>
      </c>
      <c r="J138" t="b">
        <f t="shared" si="5"/>
        <v>1</v>
      </c>
    </row>
    <row r="140" spans="1:10" x14ac:dyDescent="0.25">
      <c r="A140" t="b">
        <f>H140</f>
        <v>1</v>
      </c>
      <c r="B140" s="3" t="s">
        <v>56</v>
      </c>
      <c r="C140" s="3"/>
      <c r="D140">
        <v>1</v>
      </c>
      <c r="E140">
        <v>2</v>
      </c>
      <c r="F140" s="1" t="b">
        <v>1</v>
      </c>
      <c r="G140" s="2" t="b">
        <f>read_df_0header_0index(D140:E141)</f>
        <v>1</v>
      </c>
      <c r="H140" t="b">
        <f>G140=F140</f>
        <v>1</v>
      </c>
    </row>
    <row r="141" spans="1:10" x14ac:dyDescent="0.25">
      <c r="D141">
        <v>3</v>
      </c>
      <c r="E141">
        <v>4</v>
      </c>
    </row>
    <row r="143" spans="1:10" x14ac:dyDescent="0.25">
      <c r="A143" t="b">
        <f>AND(I143:J144)</f>
        <v>1</v>
      </c>
      <c r="B143" s="3" t="s">
        <v>70</v>
      </c>
      <c r="C143" s="3"/>
      <c r="E143" s="1">
        <v>1</v>
      </c>
      <c r="F143" s="1">
        <v>2</v>
      </c>
      <c r="G143" s="2">
        <f t="array" ref="G143:H144">write_df_0header_0index()</f>
        <v>1</v>
      </c>
      <c r="H143" s="2">
        <v>2</v>
      </c>
      <c r="I143" t="b">
        <f>G143=E143</f>
        <v>1</v>
      </c>
      <c r="J143" t="b">
        <f>H143=F143</f>
        <v>1</v>
      </c>
    </row>
    <row r="144" spans="1:10" x14ac:dyDescent="0.25">
      <c r="E144" s="1">
        <v>3</v>
      </c>
      <c r="F144" s="1">
        <v>4</v>
      </c>
      <c r="G144" s="2">
        <v>3</v>
      </c>
      <c r="H144" s="2">
        <v>4</v>
      </c>
      <c r="I144" t="b">
        <f>G144=E144</f>
        <v>1</v>
      </c>
      <c r="J144" t="b">
        <f>H144=F144</f>
        <v>1</v>
      </c>
    </row>
    <row r="145" spans="1:12" s="4" customFormat="1" x14ac:dyDescent="0.25"/>
    <row r="146" spans="1:12" s="4" customFormat="1" x14ac:dyDescent="0.25">
      <c r="A146" s="4" t="b">
        <f>H146</f>
        <v>1</v>
      </c>
      <c r="B146" s="3" t="s">
        <v>80</v>
      </c>
      <c r="D146" s="13" t="s">
        <v>51</v>
      </c>
      <c r="E146" s="13" t="s">
        <v>52</v>
      </c>
      <c r="F146" s="1" t="b">
        <v>1</v>
      </c>
      <c r="G146" s="2" t="b">
        <f>read_df_1header_0index(D146:E148)</f>
        <v>1</v>
      </c>
      <c r="H146" s="4" t="b">
        <f>G146=F146</f>
        <v>1</v>
      </c>
    </row>
    <row r="147" spans="1:12" s="4" customFormat="1" x14ac:dyDescent="0.25">
      <c r="D147" s="12">
        <v>1</v>
      </c>
      <c r="E147" s="12">
        <v>2</v>
      </c>
    </row>
    <row r="148" spans="1:12" s="4" customFormat="1" x14ac:dyDescent="0.25">
      <c r="D148" s="12">
        <v>3</v>
      </c>
      <c r="E148" s="12">
        <v>4</v>
      </c>
    </row>
    <row r="149" spans="1:12" s="4" customFormat="1" x14ac:dyDescent="0.25"/>
    <row r="150" spans="1:12" s="4" customFormat="1" x14ac:dyDescent="0.25">
      <c r="A150" s="4" t="b">
        <f>AND(I150:J152)</f>
        <v>1</v>
      </c>
      <c r="B150" s="3" t="s">
        <v>81</v>
      </c>
      <c r="E150" s="15" t="s">
        <v>51</v>
      </c>
      <c r="F150" s="15" t="s">
        <v>52</v>
      </c>
      <c r="G150" s="16" t="str">
        <f t="array" ref="G150:H152">write_df_1header_0index()</f>
        <v>a</v>
      </c>
      <c r="H150" s="16" t="str">
        <v>b</v>
      </c>
      <c r="I150" s="4" t="b">
        <f>E150=G150</f>
        <v>1</v>
      </c>
      <c r="J150" s="4" t="b">
        <f>F150=H150</f>
        <v>1</v>
      </c>
    </row>
    <row r="151" spans="1:12" s="4" customFormat="1" x14ac:dyDescent="0.25">
      <c r="E151" s="15">
        <v>1</v>
      </c>
      <c r="F151" s="15">
        <v>2</v>
      </c>
      <c r="G151" s="16">
        <v>1</v>
      </c>
      <c r="H151" s="16">
        <v>2</v>
      </c>
      <c r="I151" s="4" t="b">
        <f t="shared" ref="I151:J152" si="6">E151=G151</f>
        <v>1</v>
      </c>
      <c r="J151" s="4" t="b">
        <f t="shared" si="6"/>
        <v>1</v>
      </c>
    </row>
    <row r="152" spans="1:12" s="4" customFormat="1" x14ac:dyDescent="0.25">
      <c r="E152" s="15">
        <v>3</v>
      </c>
      <c r="F152" s="15">
        <v>4</v>
      </c>
      <c r="G152" s="16">
        <v>3</v>
      </c>
      <c r="H152" s="16">
        <v>4</v>
      </c>
      <c r="I152" s="4" t="b">
        <f t="shared" si="6"/>
        <v>1</v>
      </c>
      <c r="J152" s="4" t="b">
        <f t="shared" si="6"/>
        <v>1</v>
      </c>
    </row>
    <row r="153" spans="1:12" s="4" customFormat="1" x14ac:dyDescent="0.25"/>
    <row r="154" spans="1:12" s="4" customFormat="1" x14ac:dyDescent="0.25">
      <c r="A154" s="4" t="b">
        <f>H154</f>
        <v>1</v>
      </c>
      <c r="B154" s="3" t="s">
        <v>82</v>
      </c>
      <c r="C154" s="4">
        <v>10</v>
      </c>
      <c r="D154" s="12">
        <v>1</v>
      </c>
      <c r="E154" s="12">
        <v>2</v>
      </c>
      <c r="F154" s="1" t="b">
        <v>1</v>
      </c>
      <c r="G154" s="2" t="b">
        <f>read_df_0header_1index(C154:E155)</f>
        <v>1</v>
      </c>
      <c r="H154" s="4" t="b">
        <f>G154=F154</f>
        <v>1</v>
      </c>
    </row>
    <row r="155" spans="1:12" s="4" customFormat="1" x14ac:dyDescent="0.25">
      <c r="C155" s="4">
        <v>20</v>
      </c>
      <c r="D155" s="12">
        <v>3</v>
      </c>
      <c r="E155" s="12">
        <v>4</v>
      </c>
    </row>
    <row r="156" spans="1:12" s="4" customFormat="1" x14ac:dyDescent="0.25"/>
    <row r="157" spans="1:12" s="4" customFormat="1" x14ac:dyDescent="0.25">
      <c r="A157" s="4" t="b">
        <f>AND(J157:L158)</f>
        <v>1</v>
      </c>
      <c r="B157" s="3" t="s">
        <v>83</v>
      </c>
      <c r="D157" s="1">
        <v>10</v>
      </c>
      <c r="E157" s="15">
        <v>1</v>
      </c>
      <c r="F157" s="15">
        <v>2</v>
      </c>
      <c r="G157" s="2">
        <f t="array" ref="G157:I158">write_df_0header_1index()</f>
        <v>10</v>
      </c>
      <c r="H157" s="16">
        <v>1</v>
      </c>
      <c r="I157" s="16">
        <v>2</v>
      </c>
      <c r="J157" s="4" t="b">
        <f>G157=D157</f>
        <v>1</v>
      </c>
      <c r="K157" s="4" t="b">
        <f t="shared" ref="K157:L157" si="7">H157=E157</f>
        <v>1</v>
      </c>
      <c r="L157" s="4" t="b">
        <f t="shared" si="7"/>
        <v>1</v>
      </c>
    </row>
    <row r="158" spans="1:12" s="4" customFormat="1" x14ac:dyDescent="0.25">
      <c r="D158" s="1">
        <v>20</v>
      </c>
      <c r="E158" s="15">
        <v>3</v>
      </c>
      <c r="F158" s="15">
        <v>4</v>
      </c>
      <c r="G158" s="2">
        <v>20</v>
      </c>
      <c r="H158" s="16">
        <v>3</v>
      </c>
      <c r="I158" s="16">
        <v>4</v>
      </c>
      <c r="J158" s="4" t="b">
        <f>G158=D158</f>
        <v>1</v>
      </c>
      <c r="K158" s="4" t="b">
        <f t="shared" ref="K158" si="8">H158=E158</f>
        <v>1</v>
      </c>
      <c r="L158" s="4" t="b">
        <f t="shared" ref="L158" si="9">I158=F158</f>
        <v>1</v>
      </c>
    </row>
    <row r="159" spans="1:12" s="4" customFormat="1" x14ac:dyDescent="0.25"/>
    <row r="160" spans="1:12" s="4" customFormat="1" x14ac:dyDescent="0.25"/>
    <row r="161" spans="1:14" s="4" customFormat="1" x14ac:dyDescent="0.25"/>
    <row r="163" spans="1:14" x14ac:dyDescent="0.25">
      <c r="A163" t="b">
        <f>H163</f>
        <v>1</v>
      </c>
      <c r="B163" s="3" t="s">
        <v>57</v>
      </c>
      <c r="F163" s="1" t="b">
        <v>1</v>
      </c>
      <c r="G163" s="2" t="b">
        <f>read_df_1header_1namedindex(B164:E166)</f>
        <v>1</v>
      </c>
      <c r="H163" t="b">
        <f>G163=F163</f>
        <v>1</v>
      </c>
    </row>
    <row r="164" spans="1:14" x14ac:dyDescent="0.25">
      <c r="B164" s="12" t="s">
        <v>59</v>
      </c>
      <c r="C164" s="12" t="s">
        <v>53</v>
      </c>
      <c r="D164" s="12" t="s">
        <v>58</v>
      </c>
      <c r="E164" s="12" t="s">
        <v>53</v>
      </c>
    </row>
    <row r="165" spans="1:14" x14ac:dyDescent="0.25">
      <c r="B165" s="12">
        <v>1</v>
      </c>
      <c r="C165" s="12">
        <v>1</v>
      </c>
      <c r="D165" s="12">
        <v>2</v>
      </c>
      <c r="E165" s="12">
        <v>3</v>
      </c>
    </row>
    <row r="166" spans="1:14" x14ac:dyDescent="0.25">
      <c r="B166" s="12">
        <v>2</v>
      </c>
      <c r="C166" s="12">
        <v>4</v>
      </c>
      <c r="D166" s="12">
        <v>5</v>
      </c>
      <c r="E166" s="12">
        <v>6</v>
      </c>
    </row>
    <row r="167" spans="1:14" x14ac:dyDescent="0.25">
      <c r="B167" s="12"/>
      <c r="C167" s="12"/>
      <c r="D167" s="12"/>
      <c r="E167" s="12"/>
    </row>
    <row r="168" spans="1:14" x14ac:dyDescent="0.25">
      <c r="A168" t="b">
        <f>AND(K168:N170)</f>
        <v>1</v>
      </c>
      <c r="B168" s="3" t="s">
        <v>71</v>
      </c>
      <c r="C168" s="15" t="s">
        <v>59</v>
      </c>
      <c r="D168" s="15" t="s">
        <v>53</v>
      </c>
      <c r="E168" s="15" t="s">
        <v>58</v>
      </c>
      <c r="F168" s="15" t="s">
        <v>53</v>
      </c>
      <c r="G168" s="16" t="str">
        <f t="array" ref="G168:J170">write_df_1header_1namedindex()</f>
        <v>ix1</v>
      </c>
      <c r="H168" s="16" t="str">
        <v>c</v>
      </c>
      <c r="I168" s="16" t="str">
        <v>d</v>
      </c>
      <c r="J168" s="16" t="str">
        <v>c</v>
      </c>
      <c r="K168" t="b">
        <f>G168=C168</f>
        <v>1</v>
      </c>
      <c r="L168" t="b">
        <f t="shared" ref="L168:N168" si="10">H168=D168</f>
        <v>1</v>
      </c>
      <c r="M168" t="b">
        <f t="shared" si="10"/>
        <v>1</v>
      </c>
      <c r="N168" t="b">
        <f t="shared" si="10"/>
        <v>1</v>
      </c>
    </row>
    <row r="169" spans="1:14" x14ac:dyDescent="0.25">
      <c r="B169" s="12"/>
      <c r="C169" s="15">
        <v>1</v>
      </c>
      <c r="D169" s="15">
        <v>1</v>
      </c>
      <c r="E169" s="15">
        <v>2</v>
      </c>
      <c r="F169" s="15">
        <v>3</v>
      </c>
      <c r="G169" s="16">
        <v>1</v>
      </c>
      <c r="H169" s="16">
        <v>1</v>
      </c>
      <c r="I169" s="16">
        <v>2</v>
      </c>
      <c r="J169" s="16">
        <v>3</v>
      </c>
      <c r="K169" t="b">
        <f t="shared" ref="K169:K170" si="11">G169=C169</f>
        <v>1</v>
      </c>
      <c r="L169" t="b">
        <f t="shared" ref="L169:L170" si="12">H169=D169</f>
        <v>1</v>
      </c>
      <c r="M169" t="b">
        <f t="shared" ref="M169:M170" si="13">I169=E169</f>
        <v>1</v>
      </c>
      <c r="N169" t="b">
        <f t="shared" ref="N169:N170" si="14">J169=F169</f>
        <v>1</v>
      </c>
    </row>
    <row r="170" spans="1:14" x14ac:dyDescent="0.25">
      <c r="B170" s="12"/>
      <c r="C170" s="15">
        <v>2</v>
      </c>
      <c r="D170" s="15">
        <v>4</v>
      </c>
      <c r="E170" s="15">
        <v>5</v>
      </c>
      <c r="F170" s="15">
        <v>6</v>
      </c>
      <c r="G170" s="16">
        <v>2</v>
      </c>
      <c r="H170" s="16">
        <v>4</v>
      </c>
      <c r="I170" s="16">
        <v>5</v>
      </c>
      <c r="J170" s="16">
        <v>6</v>
      </c>
      <c r="K170" t="b">
        <f t="shared" si="11"/>
        <v>1</v>
      </c>
      <c r="L170" t="b">
        <f t="shared" si="12"/>
        <v>1</v>
      </c>
      <c r="M170" t="b">
        <f t="shared" si="13"/>
        <v>1</v>
      </c>
      <c r="N170" t="b">
        <f t="shared" si="14"/>
        <v>1</v>
      </c>
    </row>
    <row r="171" spans="1:14" x14ac:dyDescent="0.25">
      <c r="B171" s="12"/>
    </row>
    <row r="172" spans="1:14" x14ac:dyDescent="0.25">
      <c r="A172" t="b">
        <f>H172</f>
        <v>1</v>
      </c>
      <c r="B172" s="3" t="s">
        <v>60</v>
      </c>
      <c r="F172" s="1" t="b">
        <v>1</v>
      </c>
      <c r="G172" s="2" t="b">
        <f>read_df_1header_1unnamedindex(B173:E175)</f>
        <v>1</v>
      </c>
      <c r="H172" t="b">
        <f>G172=F172</f>
        <v>1</v>
      </c>
    </row>
    <row r="173" spans="1:14" x14ac:dyDescent="0.25">
      <c r="B173" s="12"/>
      <c r="C173" s="12" t="s">
        <v>53</v>
      </c>
      <c r="D173" s="12" t="s">
        <v>58</v>
      </c>
      <c r="E173" s="12" t="s">
        <v>53</v>
      </c>
    </row>
    <row r="174" spans="1:14" x14ac:dyDescent="0.25">
      <c r="B174" s="12">
        <v>1</v>
      </c>
      <c r="C174" s="12">
        <v>1</v>
      </c>
      <c r="D174" s="12">
        <v>2</v>
      </c>
      <c r="E174" s="12">
        <v>3</v>
      </c>
    </row>
    <row r="175" spans="1:14" x14ac:dyDescent="0.25">
      <c r="B175" s="12">
        <v>2</v>
      </c>
      <c r="C175" s="12">
        <v>4</v>
      </c>
      <c r="D175" s="12">
        <v>5</v>
      </c>
      <c r="E175" s="12">
        <v>6</v>
      </c>
    </row>
    <row r="176" spans="1:14" x14ac:dyDescent="0.25">
      <c r="B176" s="12"/>
      <c r="C176" s="12"/>
      <c r="D176" s="12"/>
      <c r="E176" s="12"/>
    </row>
    <row r="177" spans="1:14" x14ac:dyDescent="0.25">
      <c r="A177" t="b">
        <f>AND(K177:N179)</f>
        <v>1</v>
      </c>
      <c r="B177" s="3" t="s">
        <v>72</v>
      </c>
      <c r="C177" s="15"/>
      <c r="D177" s="15" t="s">
        <v>53</v>
      </c>
      <c r="E177" s="15" t="s">
        <v>58</v>
      </c>
      <c r="F177" s="15" t="s">
        <v>53</v>
      </c>
      <c r="G177" s="16" t="str">
        <f t="array" ref="G177:J179">write_df_1header_1unnamedindex()</f>
        <v/>
      </c>
      <c r="H177" s="16" t="str">
        <v>c</v>
      </c>
      <c r="I177" s="16" t="str">
        <v>d</v>
      </c>
      <c r="J177" s="16" t="str">
        <v>c</v>
      </c>
      <c r="K177" t="b">
        <f>G177=C177</f>
        <v>1</v>
      </c>
      <c r="L177" t="b">
        <f t="shared" ref="L177:L179" si="15">H177=D177</f>
        <v>1</v>
      </c>
      <c r="M177" t="b">
        <f t="shared" ref="M177:M179" si="16">I177=E177</f>
        <v>1</v>
      </c>
      <c r="N177" t="b">
        <f t="shared" ref="N177:N179" si="17">J177=F177</f>
        <v>1</v>
      </c>
    </row>
    <row r="178" spans="1:14" x14ac:dyDescent="0.25">
      <c r="B178" s="12"/>
      <c r="C178" s="15">
        <v>1</v>
      </c>
      <c r="D178" s="15">
        <v>1</v>
      </c>
      <c r="E178" s="15">
        <v>2</v>
      </c>
      <c r="F178" s="15">
        <v>3</v>
      </c>
      <c r="G178" s="16">
        <v>1</v>
      </c>
      <c r="H178" s="16">
        <v>1</v>
      </c>
      <c r="I178" s="16">
        <v>2</v>
      </c>
      <c r="J178" s="16">
        <v>3</v>
      </c>
      <c r="K178" t="b">
        <f t="shared" ref="K178:K179" si="18">G178=C178</f>
        <v>1</v>
      </c>
      <c r="L178" t="b">
        <f t="shared" si="15"/>
        <v>1</v>
      </c>
      <c r="M178" t="b">
        <f t="shared" si="16"/>
        <v>1</v>
      </c>
      <c r="N178" t="b">
        <f t="shared" si="17"/>
        <v>1</v>
      </c>
    </row>
    <row r="179" spans="1:14" x14ac:dyDescent="0.25">
      <c r="B179" s="12"/>
      <c r="C179" s="15">
        <v>2</v>
      </c>
      <c r="D179" s="15">
        <v>4</v>
      </c>
      <c r="E179" s="15">
        <v>5</v>
      </c>
      <c r="F179" s="15">
        <v>6</v>
      </c>
      <c r="G179" s="16">
        <v>2</v>
      </c>
      <c r="H179" s="16">
        <v>4</v>
      </c>
      <c r="I179" s="16">
        <v>5</v>
      </c>
      <c r="J179" s="16">
        <v>6</v>
      </c>
      <c r="K179" t="b">
        <f t="shared" si="18"/>
        <v>1</v>
      </c>
      <c r="L179" t="b">
        <f t="shared" si="15"/>
        <v>1</v>
      </c>
      <c r="M179" t="b">
        <f t="shared" si="16"/>
        <v>1</v>
      </c>
      <c r="N179" t="b">
        <f t="shared" si="17"/>
        <v>1</v>
      </c>
    </row>
    <row r="181" spans="1:14" x14ac:dyDescent="0.25">
      <c r="A181" t="b">
        <f>H181</f>
        <v>1</v>
      </c>
      <c r="B181" s="3" t="s">
        <v>61</v>
      </c>
      <c r="F181" s="1" t="b">
        <v>1</v>
      </c>
      <c r="G181" s="2" t="b">
        <f>read_df_2header_1namedindex(B182:E185)</f>
        <v>1</v>
      </c>
      <c r="H181" t="b">
        <f>G181=F181</f>
        <v>1</v>
      </c>
    </row>
    <row r="182" spans="1:14" x14ac:dyDescent="0.25">
      <c r="C182" s="12" t="s">
        <v>51</v>
      </c>
      <c r="D182" s="12" t="s">
        <v>51</v>
      </c>
      <c r="E182" s="12" t="s">
        <v>52</v>
      </c>
    </row>
    <row r="183" spans="1:14" x14ac:dyDescent="0.25">
      <c r="B183" s="12" t="s">
        <v>59</v>
      </c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AND(K187:N190)</f>
        <v>1</v>
      </c>
      <c r="B187" s="3" t="s">
        <v>69</v>
      </c>
      <c r="C187" s="1"/>
      <c r="D187" s="15" t="s">
        <v>51</v>
      </c>
      <c r="E187" s="15" t="s">
        <v>51</v>
      </c>
      <c r="F187" s="15" t="s">
        <v>52</v>
      </c>
      <c r="G187" s="16" t="str">
        <f t="array" ref="G187:J190">write_df_2header_1namedindex()</f>
        <v/>
      </c>
      <c r="H187" s="16" t="str">
        <v>a</v>
      </c>
      <c r="I187" s="16" t="str">
        <v>a</v>
      </c>
      <c r="J187" s="16" t="str">
        <v>b</v>
      </c>
      <c r="K187" t="b">
        <f>G187=C187</f>
        <v>1</v>
      </c>
      <c r="L187" t="b">
        <f t="shared" ref="L187:N187" si="19">H187=D187</f>
        <v>1</v>
      </c>
      <c r="M187" t="b">
        <f t="shared" si="19"/>
        <v>1</v>
      </c>
      <c r="N187" t="b">
        <f t="shared" si="19"/>
        <v>1</v>
      </c>
    </row>
    <row r="188" spans="1:14" x14ac:dyDescent="0.25">
      <c r="C188" s="15" t="s">
        <v>59</v>
      </c>
      <c r="D188" s="15" t="s">
        <v>53</v>
      </c>
      <c r="E188" s="15" t="s">
        <v>58</v>
      </c>
      <c r="F188" s="15" t="s">
        <v>53</v>
      </c>
      <c r="G188" s="16" t="str">
        <v>ix1</v>
      </c>
      <c r="H188" s="16" t="str">
        <v>c</v>
      </c>
      <c r="I188" s="16" t="str">
        <v>d</v>
      </c>
      <c r="J188" s="16" t="str">
        <v>c</v>
      </c>
      <c r="K188" t="b">
        <f t="shared" ref="K188:K190" si="20">G188=C188</f>
        <v>1</v>
      </c>
      <c r="L188" t="b">
        <f t="shared" ref="L188:L190" si="21">H188=D188</f>
        <v>1</v>
      </c>
      <c r="M188" t="b">
        <f t="shared" ref="M188:M190" si="22">I188=E188</f>
        <v>1</v>
      </c>
      <c r="N188" t="b">
        <f t="shared" ref="N188:N190" si="23">J188=F188</f>
        <v>1</v>
      </c>
    </row>
    <row r="189" spans="1:14" x14ac:dyDescent="0.25">
      <c r="C189" s="15">
        <v>1</v>
      </c>
      <c r="D189" s="15">
        <v>1</v>
      </c>
      <c r="E189" s="15">
        <v>2</v>
      </c>
      <c r="F189" s="15">
        <v>3</v>
      </c>
      <c r="G189" s="16">
        <v>1</v>
      </c>
      <c r="H189" s="16">
        <v>1</v>
      </c>
      <c r="I189" s="16">
        <v>2</v>
      </c>
      <c r="J189" s="16">
        <v>3</v>
      </c>
      <c r="K189" t="b">
        <f t="shared" si="20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x14ac:dyDescent="0.25">
      <c r="C190" s="15">
        <v>2</v>
      </c>
      <c r="D190" s="15">
        <v>4</v>
      </c>
      <c r="E190" s="15">
        <v>5</v>
      </c>
      <c r="F190" s="15">
        <v>6</v>
      </c>
      <c r="G190" s="16">
        <v>2</v>
      </c>
      <c r="H190" s="16">
        <v>4</v>
      </c>
      <c r="I190" s="16">
        <v>5</v>
      </c>
      <c r="J190" s="16">
        <v>6</v>
      </c>
      <c r="K190" t="b">
        <f t="shared" si="20"/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2" spans="1:14" x14ac:dyDescent="0.25">
      <c r="A192" t="b">
        <f>H192</f>
        <v>1</v>
      </c>
      <c r="B192" s="3" t="s">
        <v>62</v>
      </c>
      <c r="F192" s="1" t="b">
        <v>1</v>
      </c>
      <c r="G192" s="2" t="b">
        <f>read_df_2header_1unnamedindex(B193:E196)</f>
        <v>1</v>
      </c>
      <c r="H192" t="b">
        <f>G192=F192</f>
        <v>1</v>
      </c>
    </row>
    <row r="193" spans="1:14" x14ac:dyDescent="0.25">
      <c r="C193" s="12" t="s">
        <v>51</v>
      </c>
      <c r="D193" s="12" t="s">
        <v>51</v>
      </c>
      <c r="E193" s="12" t="s">
        <v>52</v>
      </c>
    </row>
    <row r="194" spans="1:14" x14ac:dyDescent="0.25">
      <c r="B194" s="12"/>
      <c r="C194" s="12" t="s">
        <v>53</v>
      </c>
      <c r="D194" s="12" t="s">
        <v>58</v>
      </c>
      <c r="E194" s="12" t="s">
        <v>53</v>
      </c>
    </row>
    <row r="195" spans="1:14" x14ac:dyDescent="0.25">
      <c r="B195" s="12">
        <v>1</v>
      </c>
      <c r="C195" s="12">
        <v>1</v>
      </c>
      <c r="D195" s="12">
        <v>2</v>
      </c>
      <c r="E195" s="12">
        <v>3</v>
      </c>
    </row>
    <row r="196" spans="1:14" x14ac:dyDescent="0.25">
      <c r="B196" s="12">
        <v>2</v>
      </c>
      <c r="C196" s="12">
        <v>4</v>
      </c>
      <c r="D196" s="12">
        <v>5</v>
      </c>
      <c r="E196" s="12">
        <v>6</v>
      </c>
    </row>
    <row r="197" spans="1:14" x14ac:dyDescent="0.25">
      <c r="B197" s="12"/>
      <c r="C197" s="12"/>
      <c r="D197" s="12"/>
      <c r="E197" s="12"/>
    </row>
    <row r="198" spans="1:14" x14ac:dyDescent="0.25">
      <c r="A198" t="b">
        <f>AND(K198:N201)</f>
        <v>1</v>
      </c>
      <c r="B198" s="3" t="s">
        <v>73</v>
      </c>
      <c r="C198" s="1"/>
      <c r="D198" s="15" t="s">
        <v>51</v>
      </c>
      <c r="E198" s="15" t="s">
        <v>51</v>
      </c>
      <c r="F198" s="15" t="s">
        <v>52</v>
      </c>
      <c r="G198" s="16" t="str">
        <f t="array" ref="G198:J201">write_df_2header_1unnamedindex()</f>
        <v/>
      </c>
      <c r="H198" s="16" t="str">
        <v>a</v>
      </c>
      <c r="I198" s="16" t="str">
        <v>a</v>
      </c>
      <c r="J198" s="16" t="str">
        <v>b</v>
      </c>
      <c r="K198" t="b">
        <f>G198=C198</f>
        <v>1</v>
      </c>
      <c r="L198" t="b">
        <f t="shared" ref="L198:L201" si="24">H198=D198</f>
        <v>1</v>
      </c>
      <c r="M198" t="b">
        <f t="shared" ref="M198:M201" si="25">I198=E198</f>
        <v>1</v>
      </c>
      <c r="N198" t="b">
        <f t="shared" ref="N198:N201" si="26">J198=F198</f>
        <v>1</v>
      </c>
    </row>
    <row r="199" spans="1:14" x14ac:dyDescent="0.25">
      <c r="B199" s="12"/>
      <c r="C199" s="15"/>
      <c r="D199" s="15" t="s">
        <v>53</v>
      </c>
      <c r="E199" s="15" t="s">
        <v>58</v>
      </c>
      <c r="F199" s="15" t="s">
        <v>53</v>
      </c>
      <c r="G199" s="16" t="str">
        <v/>
      </c>
      <c r="H199" s="16" t="str">
        <v>c</v>
      </c>
      <c r="I199" s="16" t="str">
        <v>d</v>
      </c>
      <c r="J199" s="16" t="str">
        <v>c</v>
      </c>
      <c r="K199" t="b">
        <f t="shared" ref="K199:K201" si="27">G199=C199</f>
        <v>1</v>
      </c>
      <c r="L199" t="b">
        <f t="shared" si="24"/>
        <v>1</v>
      </c>
      <c r="M199" t="b">
        <f t="shared" si="25"/>
        <v>1</v>
      </c>
      <c r="N199" t="b">
        <f t="shared" si="26"/>
        <v>1</v>
      </c>
    </row>
    <row r="200" spans="1:14" x14ac:dyDescent="0.25">
      <c r="B200" s="12"/>
      <c r="C200" s="15">
        <v>1</v>
      </c>
      <c r="D200" s="15">
        <v>1</v>
      </c>
      <c r="E200" s="15">
        <v>2</v>
      </c>
      <c r="F200" s="15">
        <v>3</v>
      </c>
      <c r="G200" s="16">
        <v>1</v>
      </c>
      <c r="H200" s="16">
        <v>1</v>
      </c>
      <c r="I200" s="16">
        <v>2</v>
      </c>
      <c r="J200" s="16">
        <v>3</v>
      </c>
      <c r="K200" t="b">
        <f t="shared" si="27"/>
        <v>1</v>
      </c>
      <c r="L200" t="b">
        <f t="shared" si="24"/>
        <v>1</v>
      </c>
      <c r="M200" t="b">
        <f t="shared" si="25"/>
        <v>1</v>
      </c>
      <c r="N200" t="b">
        <f t="shared" si="26"/>
        <v>1</v>
      </c>
    </row>
    <row r="201" spans="1:14" x14ac:dyDescent="0.25">
      <c r="B201" s="12"/>
      <c r="C201" s="15">
        <v>2</v>
      </c>
      <c r="D201" s="15">
        <v>4</v>
      </c>
      <c r="E201" s="15">
        <v>5</v>
      </c>
      <c r="F201" s="15">
        <v>6</v>
      </c>
      <c r="G201" s="16">
        <v>2</v>
      </c>
      <c r="H201" s="16">
        <v>4</v>
      </c>
      <c r="I201" s="16">
        <v>5</v>
      </c>
      <c r="J201" s="16">
        <v>6</v>
      </c>
      <c r="K201" t="b">
        <f t="shared" si="27"/>
        <v>1</v>
      </c>
      <c r="L201" t="b">
        <f t="shared" si="24"/>
        <v>1</v>
      </c>
      <c r="M201" t="b">
        <f t="shared" si="25"/>
        <v>1</v>
      </c>
      <c r="N201" t="b">
        <f t="shared" si="26"/>
        <v>1</v>
      </c>
    </row>
    <row r="203" spans="1:14" x14ac:dyDescent="0.25">
      <c r="A203" t="b">
        <f>H203</f>
        <v>1</v>
      </c>
      <c r="B203" s="3" t="s">
        <v>63</v>
      </c>
      <c r="F203" s="1" t="b">
        <v>1</v>
      </c>
      <c r="G203" s="2" t="b">
        <f>read_df_2header_2namedindex(B204:F208)</f>
        <v>1</v>
      </c>
      <c r="H203" t="b">
        <f>G203=F203</f>
        <v>1</v>
      </c>
    </row>
    <row r="204" spans="1:14" x14ac:dyDescent="0.25">
      <c r="B204" s="12"/>
      <c r="C204" s="12"/>
      <c r="D204" s="12" t="s">
        <v>51</v>
      </c>
      <c r="E204" s="12" t="s">
        <v>51</v>
      </c>
      <c r="F204" s="12" t="s">
        <v>52</v>
      </c>
    </row>
    <row r="205" spans="1:14" x14ac:dyDescent="0.25">
      <c r="B205" s="12" t="s">
        <v>64</v>
      </c>
      <c r="C205" s="12" t="s">
        <v>65</v>
      </c>
      <c r="D205" s="12" t="s">
        <v>53</v>
      </c>
      <c r="E205" s="12" t="s">
        <v>58</v>
      </c>
      <c r="F205" s="12" t="s">
        <v>53</v>
      </c>
    </row>
    <row r="206" spans="1:14" x14ac:dyDescent="0.25">
      <c r="B206" s="12" t="s">
        <v>51</v>
      </c>
      <c r="C206" s="12">
        <v>1</v>
      </c>
      <c r="D206" s="12">
        <v>1</v>
      </c>
      <c r="E206" s="12">
        <v>2</v>
      </c>
      <c r="F206" s="12">
        <v>3</v>
      </c>
    </row>
    <row r="207" spans="1:14" x14ac:dyDescent="0.25">
      <c r="B207" s="12" t="s">
        <v>51</v>
      </c>
      <c r="C207" s="12">
        <v>2</v>
      </c>
      <c r="D207" s="12">
        <v>4</v>
      </c>
      <c r="E207" s="12">
        <v>5</v>
      </c>
      <c r="F207" s="12">
        <v>6</v>
      </c>
    </row>
    <row r="208" spans="1:14" x14ac:dyDescent="0.25">
      <c r="B208" s="12" t="s">
        <v>52</v>
      </c>
      <c r="C208" s="12">
        <v>1</v>
      </c>
      <c r="D208" s="12">
        <v>7</v>
      </c>
      <c r="E208" s="12">
        <v>8</v>
      </c>
      <c r="F208" s="12">
        <v>9</v>
      </c>
    </row>
    <row r="209" spans="1:16" x14ac:dyDescent="0.25">
      <c r="B209" s="12"/>
      <c r="C209" s="12"/>
      <c r="D209" s="12"/>
      <c r="E209" s="12"/>
      <c r="F209" s="12"/>
    </row>
    <row r="210" spans="1:16" x14ac:dyDescent="0.25">
      <c r="A210" t="b">
        <f>AND(L211:P215)</f>
        <v>1</v>
      </c>
      <c r="B210" s="3" t="s">
        <v>74</v>
      </c>
      <c r="C210" s="12"/>
      <c r="D210" s="12"/>
      <c r="E210" s="12"/>
      <c r="F210" s="12"/>
    </row>
    <row r="211" spans="1:16" x14ac:dyDescent="0.25">
      <c r="B211" s="15"/>
      <c r="C211" s="15"/>
      <c r="D211" s="15" t="s">
        <v>51</v>
      </c>
      <c r="E211" s="15" t="s">
        <v>51</v>
      </c>
      <c r="F211" s="15" t="s">
        <v>52</v>
      </c>
      <c r="G211" s="16" t="str">
        <f t="array" ref="G211:K215">write_df_2header_2namedindex()</f>
        <v/>
      </c>
      <c r="H211" s="16" t="str">
        <v/>
      </c>
      <c r="I211" s="16" t="str">
        <v>a</v>
      </c>
      <c r="J211" s="16" t="str">
        <v>a</v>
      </c>
      <c r="K211" s="16" t="str">
        <v>b</v>
      </c>
      <c r="L211" t="b">
        <f>G211=B211</f>
        <v>1</v>
      </c>
      <c r="M211" t="b">
        <f t="shared" ref="M211:P211" si="28">H211=C211</f>
        <v>1</v>
      </c>
      <c r="N211" t="b">
        <f t="shared" si="28"/>
        <v>1</v>
      </c>
      <c r="O211" t="b">
        <f t="shared" si="28"/>
        <v>1</v>
      </c>
      <c r="P211" t="b">
        <f t="shared" si="28"/>
        <v>1</v>
      </c>
    </row>
    <row r="212" spans="1:16" x14ac:dyDescent="0.25">
      <c r="B212" s="15" t="s">
        <v>64</v>
      </c>
      <c r="C212" s="15" t="s">
        <v>65</v>
      </c>
      <c r="D212" s="15" t="s">
        <v>53</v>
      </c>
      <c r="E212" s="15" t="s">
        <v>58</v>
      </c>
      <c r="F212" s="15" t="s">
        <v>53</v>
      </c>
      <c r="G212" s="16" t="str">
        <v>x1</v>
      </c>
      <c r="H212" s="16" t="str">
        <v>x2</v>
      </c>
      <c r="I212" s="16" t="str">
        <v>c</v>
      </c>
      <c r="J212" s="16" t="str">
        <v>d</v>
      </c>
      <c r="K212" s="16" t="str">
        <v>c</v>
      </c>
      <c r="L212" t="b">
        <f t="shared" ref="L212:L215" si="29">G212=B212</f>
        <v>1</v>
      </c>
      <c r="M212" t="b">
        <f t="shared" ref="M212:M215" si="30">H212=C212</f>
        <v>1</v>
      </c>
      <c r="N212" t="b">
        <f t="shared" ref="N212:N215" si="31">I212=D212</f>
        <v>1</v>
      </c>
      <c r="O212" t="b">
        <f t="shared" ref="O212:O215" si="32">J212=E212</f>
        <v>1</v>
      </c>
      <c r="P212" t="b">
        <f t="shared" ref="P212:P215" si="33">K212=F212</f>
        <v>1</v>
      </c>
    </row>
    <row r="213" spans="1:16" x14ac:dyDescent="0.25">
      <c r="B213" s="15" t="s">
        <v>51</v>
      </c>
      <c r="C213" s="15">
        <v>1</v>
      </c>
      <c r="D213" s="15">
        <v>1</v>
      </c>
      <c r="E213" s="15">
        <v>2</v>
      </c>
      <c r="F213" s="15">
        <v>3</v>
      </c>
      <c r="G213" s="16" t="str">
        <v>a</v>
      </c>
      <c r="H213" s="16">
        <v>1</v>
      </c>
      <c r="I213" s="16">
        <v>1</v>
      </c>
      <c r="J213" s="16">
        <v>2</v>
      </c>
      <c r="K213" s="16">
        <v>3</v>
      </c>
      <c r="L213" t="b">
        <f t="shared" si="29"/>
        <v>1</v>
      </c>
      <c r="M213" t="b">
        <f t="shared" si="30"/>
        <v>1</v>
      </c>
      <c r="N213" t="b">
        <f t="shared" si="31"/>
        <v>1</v>
      </c>
      <c r="O213" t="b">
        <f t="shared" si="32"/>
        <v>1</v>
      </c>
      <c r="P213" t="b">
        <f t="shared" si="33"/>
        <v>1</v>
      </c>
    </row>
    <row r="214" spans="1:16" x14ac:dyDescent="0.25">
      <c r="B214" s="15" t="s">
        <v>51</v>
      </c>
      <c r="C214" s="15">
        <v>2</v>
      </c>
      <c r="D214" s="15">
        <v>4</v>
      </c>
      <c r="E214" s="15">
        <v>5</v>
      </c>
      <c r="F214" s="15">
        <v>6</v>
      </c>
      <c r="G214" s="16" t="str">
        <v>a</v>
      </c>
      <c r="H214" s="16">
        <v>2</v>
      </c>
      <c r="I214" s="16">
        <v>4</v>
      </c>
      <c r="J214" s="16">
        <v>5</v>
      </c>
      <c r="K214" s="16">
        <v>6</v>
      </c>
      <c r="L214" t="b">
        <f t="shared" si="29"/>
        <v>1</v>
      </c>
      <c r="M214" t="b">
        <f t="shared" si="30"/>
        <v>1</v>
      </c>
      <c r="N214" t="b">
        <f t="shared" si="31"/>
        <v>1</v>
      </c>
      <c r="O214" t="b">
        <f t="shared" si="32"/>
        <v>1</v>
      </c>
      <c r="P214" t="b">
        <f t="shared" si="33"/>
        <v>1</v>
      </c>
    </row>
    <row r="215" spans="1:16" x14ac:dyDescent="0.25">
      <c r="B215" s="15" t="s">
        <v>52</v>
      </c>
      <c r="C215" s="15">
        <v>1</v>
      </c>
      <c r="D215" s="15">
        <v>7</v>
      </c>
      <c r="E215" s="15">
        <v>8</v>
      </c>
      <c r="F215" s="15">
        <v>9</v>
      </c>
      <c r="G215" s="16" t="str">
        <v>b</v>
      </c>
      <c r="H215" s="16">
        <v>1</v>
      </c>
      <c r="I215" s="16">
        <v>7</v>
      </c>
      <c r="J215" s="16">
        <v>8</v>
      </c>
      <c r="K215" s="16">
        <v>9</v>
      </c>
      <c r="L215" t="b">
        <f t="shared" si="29"/>
        <v>1</v>
      </c>
      <c r="M215" t="b">
        <f t="shared" si="30"/>
        <v>1</v>
      </c>
      <c r="N215" t="b">
        <f t="shared" si="31"/>
        <v>1</v>
      </c>
      <c r="O215" t="b">
        <f t="shared" si="32"/>
        <v>1</v>
      </c>
      <c r="P215" t="b">
        <f t="shared" si="33"/>
        <v>1</v>
      </c>
    </row>
    <row r="216" spans="1:16" x14ac:dyDescent="0.25">
      <c r="B216" s="12"/>
      <c r="C216" s="12"/>
      <c r="D216" s="12"/>
      <c r="E216" s="12"/>
      <c r="F216" s="12"/>
    </row>
    <row r="219" spans="1:16" x14ac:dyDescent="0.25">
      <c r="A219" t="b">
        <f>H219</f>
        <v>1</v>
      </c>
      <c r="B219" s="3" t="s">
        <v>66</v>
      </c>
      <c r="F219" s="1" t="b">
        <v>1</v>
      </c>
      <c r="G219" s="2" t="b">
        <f>read_df_2header_2unnamedindex(B220:F224)</f>
        <v>1</v>
      </c>
      <c r="H219" t="b">
        <f>G219=F219</f>
        <v>1</v>
      </c>
    </row>
    <row r="220" spans="1:16" x14ac:dyDescent="0.25">
      <c r="B220" s="12"/>
      <c r="C220" s="12"/>
      <c r="D220" s="12" t="s">
        <v>51</v>
      </c>
      <c r="E220" s="12" t="s">
        <v>51</v>
      </c>
      <c r="F220" s="12" t="s">
        <v>52</v>
      </c>
    </row>
    <row r="221" spans="1:16" x14ac:dyDescent="0.25">
      <c r="B221" s="12"/>
      <c r="C221" s="12"/>
      <c r="D221" s="12" t="s">
        <v>53</v>
      </c>
      <c r="E221" s="12" t="s">
        <v>58</v>
      </c>
      <c r="F221" s="12" t="s">
        <v>53</v>
      </c>
    </row>
    <row r="222" spans="1:16" x14ac:dyDescent="0.25">
      <c r="B222" s="12" t="s">
        <v>51</v>
      </c>
      <c r="C222" s="12">
        <v>1</v>
      </c>
      <c r="D222" s="12">
        <v>1</v>
      </c>
      <c r="E222" s="12">
        <v>2</v>
      </c>
      <c r="F222" s="12">
        <v>3</v>
      </c>
    </row>
    <row r="223" spans="1:16" x14ac:dyDescent="0.25">
      <c r="B223" s="12" t="s">
        <v>51</v>
      </c>
      <c r="C223" s="12">
        <v>2</v>
      </c>
      <c r="D223" s="12">
        <v>4</v>
      </c>
      <c r="E223" s="12">
        <v>5</v>
      </c>
      <c r="F223" s="12">
        <v>6</v>
      </c>
    </row>
    <row r="224" spans="1:16" x14ac:dyDescent="0.25">
      <c r="B224" s="12" t="s">
        <v>52</v>
      </c>
      <c r="C224" s="12">
        <v>1</v>
      </c>
      <c r="D224" s="12">
        <v>7</v>
      </c>
      <c r="E224" s="12">
        <v>8</v>
      </c>
      <c r="F224" s="12">
        <v>9</v>
      </c>
    </row>
    <row r="225" spans="1:16" x14ac:dyDescent="0.25">
      <c r="B225" s="12"/>
      <c r="C225" s="12"/>
      <c r="D225" s="12"/>
      <c r="E225" s="12"/>
      <c r="F225" s="12"/>
    </row>
    <row r="226" spans="1:16" x14ac:dyDescent="0.25">
      <c r="A226" t="b">
        <f>AND(L227:P231)</f>
        <v>1</v>
      </c>
      <c r="B226" s="3" t="s">
        <v>75</v>
      </c>
      <c r="C226" s="12"/>
      <c r="D226" s="12"/>
      <c r="E226" s="12"/>
      <c r="F226" s="12"/>
    </row>
    <row r="227" spans="1:16" x14ac:dyDescent="0.25">
      <c r="B227" s="15"/>
      <c r="C227" s="15"/>
      <c r="D227" s="15" t="s">
        <v>51</v>
      </c>
      <c r="E227" s="15" t="s">
        <v>51</v>
      </c>
      <c r="F227" s="15" t="s">
        <v>52</v>
      </c>
      <c r="G227" s="16" t="str">
        <f t="array" ref="G227:K231">write_df_2header_2unnamedindex()</f>
        <v/>
      </c>
      <c r="H227" s="16" t="str">
        <v/>
      </c>
      <c r="I227" s="16" t="str">
        <v>a</v>
      </c>
      <c r="J227" s="16" t="str">
        <v>a</v>
      </c>
      <c r="K227" s="16" t="str">
        <v>b</v>
      </c>
      <c r="L227" t="b">
        <f>G227=B227</f>
        <v>1</v>
      </c>
      <c r="M227" t="b">
        <f t="shared" ref="M227:M231" si="34">H227=C227</f>
        <v>1</v>
      </c>
      <c r="N227" t="b">
        <f t="shared" ref="N227:N231" si="35">I227=D227</f>
        <v>1</v>
      </c>
      <c r="O227" t="b">
        <f t="shared" ref="O227:O231" si="36">J227=E227</f>
        <v>1</v>
      </c>
      <c r="P227" t="b">
        <f t="shared" ref="P227:P231" si="37">K227=F227</f>
        <v>1</v>
      </c>
    </row>
    <row r="228" spans="1:16" x14ac:dyDescent="0.25">
      <c r="B228" s="15"/>
      <c r="C228" s="15"/>
      <c r="D228" s="15" t="s">
        <v>53</v>
      </c>
      <c r="E228" s="15" t="s">
        <v>58</v>
      </c>
      <c r="F228" s="15" t="s">
        <v>53</v>
      </c>
      <c r="G228" s="16" t="str">
        <v/>
      </c>
      <c r="H228" s="16" t="str">
        <v/>
      </c>
      <c r="I228" s="16" t="str">
        <v>c</v>
      </c>
      <c r="J228" s="16" t="str">
        <v>d</v>
      </c>
      <c r="K228" s="16" t="str">
        <v>c</v>
      </c>
      <c r="L228" t="b">
        <f t="shared" ref="L228:L231" si="38">G228=B228</f>
        <v>1</v>
      </c>
      <c r="M228" t="b">
        <f t="shared" si="34"/>
        <v>1</v>
      </c>
      <c r="N228" t="b">
        <f t="shared" si="35"/>
        <v>1</v>
      </c>
      <c r="O228" t="b">
        <f t="shared" si="36"/>
        <v>1</v>
      </c>
      <c r="P228" t="b">
        <f t="shared" si="37"/>
        <v>1</v>
      </c>
    </row>
    <row r="229" spans="1:16" x14ac:dyDescent="0.25">
      <c r="B229" s="15" t="s">
        <v>51</v>
      </c>
      <c r="C229" s="15">
        <v>1</v>
      </c>
      <c r="D229" s="15">
        <v>1</v>
      </c>
      <c r="E229" s="15">
        <v>2</v>
      </c>
      <c r="F229" s="15">
        <v>3</v>
      </c>
      <c r="G229" s="16" t="str">
        <v>a</v>
      </c>
      <c r="H229" s="16">
        <v>1</v>
      </c>
      <c r="I229" s="16">
        <v>1</v>
      </c>
      <c r="J229" s="16">
        <v>2</v>
      </c>
      <c r="K229" s="16">
        <v>3</v>
      </c>
      <c r="L229" t="b">
        <f t="shared" si="38"/>
        <v>1</v>
      </c>
      <c r="M229" t="b">
        <f t="shared" si="34"/>
        <v>1</v>
      </c>
      <c r="N229" t="b">
        <f t="shared" si="35"/>
        <v>1</v>
      </c>
      <c r="O229" t="b">
        <f t="shared" si="36"/>
        <v>1</v>
      </c>
      <c r="P229" t="b">
        <f t="shared" si="37"/>
        <v>1</v>
      </c>
    </row>
    <row r="230" spans="1:16" x14ac:dyDescent="0.25">
      <c r="B230" s="15" t="s">
        <v>51</v>
      </c>
      <c r="C230" s="15">
        <v>2</v>
      </c>
      <c r="D230" s="15">
        <v>4</v>
      </c>
      <c r="E230" s="15">
        <v>5</v>
      </c>
      <c r="F230" s="15">
        <v>6</v>
      </c>
      <c r="G230" s="16" t="str">
        <v>a</v>
      </c>
      <c r="H230" s="16">
        <v>2</v>
      </c>
      <c r="I230" s="16">
        <v>4</v>
      </c>
      <c r="J230" s="16">
        <v>5</v>
      </c>
      <c r="K230" s="16">
        <v>6</v>
      </c>
      <c r="L230" t="b">
        <f t="shared" si="38"/>
        <v>1</v>
      </c>
      <c r="M230" t="b">
        <f t="shared" si="34"/>
        <v>1</v>
      </c>
      <c r="N230" t="b">
        <f t="shared" si="35"/>
        <v>1</v>
      </c>
      <c r="O230" t="b">
        <f t="shared" si="36"/>
        <v>1</v>
      </c>
      <c r="P230" t="b">
        <f t="shared" si="37"/>
        <v>1</v>
      </c>
    </row>
    <row r="231" spans="1:16" x14ac:dyDescent="0.25">
      <c r="B231" s="15" t="s">
        <v>52</v>
      </c>
      <c r="C231" s="15">
        <v>1</v>
      </c>
      <c r="D231" s="15">
        <v>7</v>
      </c>
      <c r="E231" s="15">
        <v>8</v>
      </c>
      <c r="F231" s="15">
        <v>9</v>
      </c>
      <c r="G231" s="16" t="str">
        <v>b</v>
      </c>
      <c r="H231" s="16">
        <v>1</v>
      </c>
      <c r="I231" s="16">
        <v>7</v>
      </c>
      <c r="J231" s="16">
        <v>8</v>
      </c>
      <c r="K231" s="16">
        <v>9</v>
      </c>
      <c r="L231" t="b">
        <f t="shared" si="38"/>
        <v>1</v>
      </c>
      <c r="M231" t="b">
        <f t="shared" si="34"/>
        <v>1</v>
      </c>
      <c r="N231" t="b">
        <f t="shared" si="35"/>
        <v>1</v>
      </c>
      <c r="O231" t="b">
        <f t="shared" si="36"/>
        <v>1</v>
      </c>
      <c r="P231" t="b">
        <f t="shared" si="37"/>
        <v>1</v>
      </c>
    </row>
    <row r="233" spans="1:16" x14ac:dyDescent="0.25">
      <c r="A233" t="b">
        <f>H233</f>
        <v>1</v>
      </c>
      <c r="B233" s="3" t="s">
        <v>67</v>
      </c>
      <c r="F233" s="1" t="b">
        <v>1</v>
      </c>
      <c r="G233" s="2" t="b">
        <f>read_df_1header_2namedindex(B234:F237)</f>
        <v>1</v>
      </c>
      <c r="H233" t="b">
        <f>G233=F233</f>
        <v>1</v>
      </c>
    </row>
    <row r="234" spans="1:16" x14ac:dyDescent="0.25">
      <c r="B234" s="12" t="s">
        <v>64</v>
      </c>
      <c r="C234" s="12" t="s">
        <v>65</v>
      </c>
      <c r="D234" s="12" t="s">
        <v>51</v>
      </c>
      <c r="E234" s="12" t="s">
        <v>58</v>
      </c>
      <c r="F234" s="12" t="s">
        <v>53</v>
      </c>
    </row>
    <row r="235" spans="1:16" x14ac:dyDescent="0.25">
      <c r="B235" s="12" t="s">
        <v>51</v>
      </c>
      <c r="C235" s="12">
        <v>1</v>
      </c>
      <c r="D235" s="12">
        <v>1</v>
      </c>
      <c r="E235" s="12">
        <v>2</v>
      </c>
      <c r="F235" s="12">
        <v>3</v>
      </c>
    </row>
    <row r="236" spans="1:16" x14ac:dyDescent="0.25">
      <c r="B236" s="12" t="s">
        <v>51</v>
      </c>
      <c r="C236" s="12">
        <v>2</v>
      </c>
      <c r="D236" s="12">
        <v>4</v>
      </c>
      <c r="E236" s="12">
        <v>5</v>
      </c>
      <c r="F236" s="12">
        <v>6</v>
      </c>
    </row>
    <row r="237" spans="1:16" x14ac:dyDescent="0.25">
      <c r="B237" s="12" t="s">
        <v>52</v>
      </c>
      <c r="C237" s="12">
        <v>1</v>
      </c>
      <c r="D237" s="12">
        <v>7</v>
      </c>
      <c r="E237" s="12">
        <v>8</v>
      </c>
      <c r="F237" s="12">
        <v>9</v>
      </c>
    </row>
    <row r="238" spans="1:16" x14ac:dyDescent="0.25">
      <c r="B238" s="12"/>
      <c r="C238" s="12"/>
      <c r="D238" s="12"/>
      <c r="E238" s="12"/>
      <c r="F238" s="12"/>
    </row>
    <row r="239" spans="1:16" x14ac:dyDescent="0.25">
      <c r="A239" t="b">
        <f>AND(L240:P243)</f>
        <v>1</v>
      </c>
      <c r="B239" s="3" t="s">
        <v>76</v>
      </c>
    </row>
    <row r="240" spans="1:16" x14ac:dyDescent="0.25">
      <c r="B240" s="15" t="s">
        <v>64</v>
      </c>
      <c r="C240" s="15" t="s">
        <v>65</v>
      </c>
      <c r="D240" s="15" t="s">
        <v>51</v>
      </c>
      <c r="E240" s="15" t="s">
        <v>58</v>
      </c>
      <c r="F240" s="15" t="s">
        <v>53</v>
      </c>
      <c r="G240" s="16" t="str">
        <f t="array" ref="G240:K243">write_df_1header_2namedindex()</f>
        <v>x1</v>
      </c>
      <c r="H240" s="16" t="str">
        <v>x2</v>
      </c>
      <c r="I240" s="16" t="str">
        <v>a</v>
      </c>
      <c r="J240" s="16" t="str">
        <v>d</v>
      </c>
      <c r="K240" s="16" t="str">
        <v>c</v>
      </c>
      <c r="L240" t="b">
        <f>G240=B240</f>
        <v>1</v>
      </c>
      <c r="M240" t="b">
        <f t="shared" ref="M240:P243" si="39">H240=C240</f>
        <v>1</v>
      </c>
      <c r="N240" t="b">
        <f t="shared" si="39"/>
        <v>1</v>
      </c>
      <c r="O240" t="b">
        <f t="shared" si="39"/>
        <v>1</v>
      </c>
      <c r="P240" t="b">
        <f t="shared" si="39"/>
        <v>1</v>
      </c>
    </row>
    <row r="241" spans="1:16" x14ac:dyDescent="0.25">
      <c r="B241" s="15" t="s">
        <v>51</v>
      </c>
      <c r="C241" s="15">
        <v>1</v>
      </c>
      <c r="D241" s="15">
        <v>1</v>
      </c>
      <c r="E241" s="15">
        <v>2</v>
      </c>
      <c r="F241" s="15">
        <v>3</v>
      </c>
      <c r="G241" s="16" t="str">
        <v>a</v>
      </c>
      <c r="H241" s="16">
        <v>1</v>
      </c>
      <c r="I241" s="16">
        <v>1</v>
      </c>
      <c r="J241" s="16">
        <v>2</v>
      </c>
      <c r="K241" s="16">
        <v>3</v>
      </c>
      <c r="L241" t="b">
        <f t="shared" ref="L241:L243" si="40">G241=B241</f>
        <v>1</v>
      </c>
      <c r="M241" t="b">
        <f t="shared" si="39"/>
        <v>1</v>
      </c>
      <c r="N241" t="b">
        <f t="shared" si="39"/>
        <v>1</v>
      </c>
      <c r="O241" t="b">
        <f t="shared" si="39"/>
        <v>1</v>
      </c>
      <c r="P241" t="b">
        <f t="shared" si="39"/>
        <v>1</v>
      </c>
    </row>
    <row r="242" spans="1:16" x14ac:dyDescent="0.25">
      <c r="B242" s="15" t="s">
        <v>51</v>
      </c>
      <c r="C242" s="15">
        <v>2</v>
      </c>
      <c r="D242" s="15">
        <v>4</v>
      </c>
      <c r="E242" s="15">
        <v>5</v>
      </c>
      <c r="F242" s="15">
        <v>6</v>
      </c>
      <c r="G242" s="16" t="str">
        <v>a</v>
      </c>
      <c r="H242" s="16">
        <v>2</v>
      </c>
      <c r="I242" s="16">
        <v>4</v>
      </c>
      <c r="J242" s="16">
        <v>5</v>
      </c>
      <c r="K242" s="16">
        <v>6</v>
      </c>
      <c r="L242" t="b">
        <f t="shared" si="40"/>
        <v>1</v>
      </c>
      <c r="M242" t="b">
        <f t="shared" si="39"/>
        <v>1</v>
      </c>
      <c r="N242" t="b">
        <f t="shared" si="39"/>
        <v>1</v>
      </c>
      <c r="O242" t="b">
        <f t="shared" si="39"/>
        <v>1</v>
      </c>
      <c r="P242" t="b">
        <f t="shared" si="39"/>
        <v>1</v>
      </c>
    </row>
    <row r="243" spans="1:16" x14ac:dyDescent="0.25">
      <c r="B243" s="15" t="s">
        <v>52</v>
      </c>
      <c r="C243" s="15">
        <v>1</v>
      </c>
      <c r="D243" s="15">
        <v>7</v>
      </c>
      <c r="E243" s="15">
        <v>8</v>
      </c>
      <c r="F243" s="15">
        <v>9</v>
      </c>
      <c r="G243" s="16" t="str">
        <v>b</v>
      </c>
      <c r="H243" s="16">
        <v>1</v>
      </c>
      <c r="I243" s="16">
        <v>7</v>
      </c>
      <c r="J243" s="16">
        <v>8</v>
      </c>
      <c r="K243" s="16">
        <v>9</v>
      </c>
      <c r="L243" t="b">
        <f t="shared" si="40"/>
        <v>1</v>
      </c>
      <c r="M243" t="b">
        <f t="shared" si="39"/>
        <v>1</v>
      </c>
      <c r="N243" t="b">
        <f t="shared" si="39"/>
        <v>1</v>
      </c>
      <c r="O243" t="b">
        <f t="shared" si="39"/>
        <v>1</v>
      </c>
      <c r="P243" t="b">
        <f t="shared" si="39"/>
        <v>1</v>
      </c>
    </row>
    <row r="244" spans="1:16" s="4" customFormat="1" x14ac:dyDescent="0.25">
      <c r="B244" s="13"/>
      <c r="C244" s="13"/>
      <c r="D244" s="13"/>
      <c r="E244" s="13"/>
      <c r="F244" s="13"/>
      <c r="G244" s="13"/>
      <c r="H244" s="13"/>
      <c r="I244" s="13"/>
      <c r="J244" s="13"/>
      <c r="K244" s="13"/>
    </row>
    <row r="245" spans="1:16" x14ac:dyDescent="0.25">
      <c r="A245" t="b">
        <f>H245</f>
        <v>1</v>
      </c>
      <c r="B245" s="3" t="s">
        <v>68</v>
      </c>
      <c r="F245" s="1" t="b">
        <v>1</v>
      </c>
      <c r="G245" s="2" t="b">
        <f>read_df_date_index(B246:E248)</f>
        <v>1</v>
      </c>
      <c r="H245" t="b">
        <f>G245=F245</f>
        <v>1</v>
      </c>
    </row>
    <row r="246" spans="1:16" x14ac:dyDescent="0.25">
      <c r="B246" s="12"/>
      <c r="C246" s="12" t="s">
        <v>53</v>
      </c>
      <c r="D246" s="12" t="s">
        <v>58</v>
      </c>
      <c r="E246" s="12" t="s">
        <v>53</v>
      </c>
    </row>
    <row r="247" spans="1:16" x14ac:dyDescent="0.25">
      <c r="B247" s="14">
        <v>36507</v>
      </c>
      <c r="C247" s="12">
        <v>1</v>
      </c>
      <c r="D247" s="12">
        <v>2</v>
      </c>
      <c r="E247" s="12">
        <v>3</v>
      </c>
    </row>
    <row r="248" spans="1:16" x14ac:dyDescent="0.25">
      <c r="B248" s="14">
        <v>36508</v>
      </c>
      <c r="C248" s="12">
        <v>4</v>
      </c>
      <c r="D248" s="12">
        <v>5</v>
      </c>
      <c r="E248" s="12">
        <v>6</v>
      </c>
    </row>
    <row r="250" spans="1:16" x14ac:dyDescent="0.25">
      <c r="A250" t="b">
        <f>AND(K250:N252)</f>
        <v>1</v>
      </c>
      <c r="B250" s="3" t="s">
        <v>77</v>
      </c>
      <c r="C250" s="15"/>
      <c r="D250" s="15" t="s">
        <v>53</v>
      </c>
      <c r="E250" s="15" t="s">
        <v>58</v>
      </c>
      <c r="F250" s="15" t="s">
        <v>53</v>
      </c>
      <c r="G250" s="16" t="str">
        <f t="array" ref="G250:J252">write_df_date_index()</f>
        <v/>
      </c>
      <c r="H250" s="16" t="str">
        <v>c</v>
      </c>
      <c r="I250" s="16" t="str">
        <v>d</v>
      </c>
      <c r="J250" s="16" t="str">
        <v>c</v>
      </c>
      <c r="K250" t="b">
        <f>G250=C250</f>
        <v>1</v>
      </c>
      <c r="L250" t="b">
        <f t="shared" ref="L250:N252" si="41">H250=D250</f>
        <v>1</v>
      </c>
      <c r="M250" t="b">
        <f t="shared" si="41"/>
        <v>1</v>
      </c>
      <c r="N250" t="b">
        <f t="shared" si="41"/>
        <v>1</v>
      </c>
    </row>
    <row r="251" spans="1:16" x14ac:dyDescent="0.25">
      <c r="C251" s="17">
        <v>36507</v>
      </c>
      <c r="D251" s="15">
        <v>1</v>
      </c>
      <c r="E251" s="15">
        <v>2</v>
      </c>
      <c r="F251" s="15">
        <v>3</v>
      </c>
      <c r="G251" s="18">
        <v>36507</v>
      </c>
      <c r="H251" s="16">
        <v>1</v>
      </c>
      <c r="I251" s="16">
        <v>2</v>
      </c>
      <c r="J251" s="16">
        <v>3</v>
      </c>
      <c r="K251" t="b">
        <f t="shared" ref="K251:K252" si="42">G251=C251</f>
        <v>1</v>
      </c>
      <c r="L251" t="b">
        <f t="shared" si="41"/>
        <v>1</v>
      </c>
      <c r="M251" t="b">
        <f t="shared" si="41"/>
        <v>1</v>
      </c>
      <c r="N251" t="b">
        <f t="shared" si="41"/>
        <v>1</v>
      </c>
    </row>
    <row r="252" spans="1:16" x14ac:dyDescent="0.25">
      <c r="C252" s="17">
        <v>36508</v>
      </c>
      <c r="D252" s="15">
        <v>4</v>
      </c>
      <c r="E252" s="15">
        <v>5</v>
      </c>
      <c r="F252" s="15">
        <v>6</v>
      </c>
      <c r="G252" s="18">
        <v>36508</v>
      </c>
      <c r="H252" s="16">
        <v>4</v>
      </c>
      <c r="I252" s="16">
        <v>5</v>
      </c>
      <c r="J252" s="16">
        <v>6</v>
      </c>
      <c r="K252" t="b">
        <f t="shared" si="42"/>
        <v>1</v>
      </c>
      <c r="L252" t="b">
        <f t="shared" si="41"/>
        <v>1</v>
      </c>
      <c r="M252" t="b">
        <f t="shared" si="41"/>
        <v>1</v>
      </c>
      <c r="N252" t="b">
        <f t="shared" si="41"/>
        <v>1</v>
      </c>
    </row>
  </sheetData>
  <conditionalFormatting sqref="A1:A1048576">
    <cfRule type="containsText" dxfId="2" priority="2" operator="containsText" text="FALSE">
      <formula>NOT(ISERROR(SEARCH("FALSE",A1)))</formula>
    </cfRule>
  </conditionalFormatting>
  <conditionalFormatting sqref="B1">
    <cfRule type="cellIs" dxfId="1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2016-02-19T17:14:22Z</dcterms:modified>
</cp:coreProperties>
</file>