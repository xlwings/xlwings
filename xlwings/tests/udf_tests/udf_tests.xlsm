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8955" windowHeight="12585" tabRatio="500"/>
  </bookViews>
  <sheets>
    <sheet name="Sheet1" sheetId="1" r:id="rId1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E151" i="1" l="1"/>
  <c r="E147" i="1" a="1"/>
  <c r="E147" i="1"/>
  <c r="F147" i="1"/>
  <c r="E148" i="1"/>
  <c r="F148" i="1"/>
  <c r="E149" i="1"/>
  <c r="F149" i="1"/>
  <c r="E142" i="1" a="1"/>
  <c r="E142" i="1"/>
  <c r="F142" i="1"/>
  <c r="E143" i="1"/>
  <c r="F143" i="1"/>
  <c r="E144" i="1"/>
  <c r="F144" i="1"/>
  <c r="E137" i="1" a="1"/>
  <c r="E137" i="1"/>
  <c r="E138" i="1"/>
  <c r="E139" i="1"/>
  <c r="E133" i="1" a="1"/>
  <c r="E133" i="1"/>
  <c r="F133" i="1"/>
  <c r="E134" i="1"/>
  <c r="F134" i="1"/>
  <c r="E129" i="1" a="1"/>
  <c r="E129" i="1"/>
  <c r="E130" i="1"/>
  <c r="E125" i="1"/>
  <c r="E121" i="1"/>
  <c r="E117" i="1"/>
  <c r="E113" i="1"/>
  <c r="E109" i="1"/>
  <c r="E106" i="1"/>
  <c r="E103" i="1"/>
  <c r="E100" i="1"/>
  <c r="E96" i="1" a="1"/>
  <c r="E96" i="1"/>
  <c r="F96" i="1"/>
  <c r="E97" i="1"/>
  <c r="F97" i="1"/>
  <c r="E93" i="1"/>
  <c r="E90" i="1"/>
  <c r="E87" i="1"/>
  <c r="E83" i="1"/>
  <c r="E80" i="1"/>
  <c r="E77" i="1"/>
  <c r="E74" i="1"/>
  <c r="E71" i="1"/>
  <c r="E68" i="1"/>
  <c r="E65" i="1"/>
  <c r="E62" i="1"/>
  <c r="E59" i="1" a="1"/>
  <c r="E59" i="1"/>
  <c r="F59" i="1"/>
  <c r="E60" i="1"/>
  <c r="F60" i="1"/>
  <c r="E56" i="1"/>
  <c r="E53" i="1"/>
  <c r="E50" i="1"/>
  <c r="E46" i="1" a="1"/>
  <c r="E46" i="1"/>
  <c r="F46" i="1"/>
  <c r="E47" i="1"/>
  <c r="F47" i="1"/>
  <c r="E43" i="1"/>
  <c r="E40" i="1" a="1"/>
  <c r="E40" i="1"/>
  <c r="E41" i="1"/>
  <c r="E38" i="1"/>
  <c r="E35" i="1" a="1"/>
  <c r="E35" i="1"/>
  <c r="F35" i="1"/>
  <c r="E32" i="1"/>
  <c r="E29" i="1"/>
  <c r="E27" i="1"/>
  <c r="E25" i="1"/>
  <c r="E22" i="1"/>
  <c r="E19" i="1"/>
  <c r="E16" i="1"/>
  <c r="E13" i="1"/>
  <c r="E12" i="1"/>
  <c r="E9" i="1"/>
  <c r="E6" i="1"/>
  <c r="E5" i="1"/>
</calcChain>
</file>

<file path=xl/sharedStrings.xml><?xml version="1.0" encoding="utf-8"?>
<sst xmlns="http://schemas.openxmlformats.org/spreadsheetml/2006/main" count="58" uniqueCount="49">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</sst>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3" fillId="0" borderId="0" xfId="0" applyFont="1"/>
    <xf numFmtId="0" fontId="0" fillId="0" borderId="0" xfId="0" applyFill="1"/>
    <xf numFmtId="14" fontId="0" fillId="0" borderId="0" xfId="0" applyNumberFormat="1" applyFill="1"/>
    <xf numFmtId="0" fontId="3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22" fontId="1" fillId="2" borderId="0" xfId="1" applyNumberFormat="1" applyFill="1"/>
    <xf numFmtId="22" fontId="1" fillId="3" borderId="0" xfId="1" applyNumberFormat="1" applyFill="1"/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160"/>
  <sheetViews>
    <sheetView tabSelected="1" topLeftCell="A133" zoomScale="80" zoomScaleNormal="80" workbookViewId="0">
      <selection activeCell="E151" sqref="E151"/>
    </sheetView>
  </sheetViews>
  <sheetFormatPr defaultColWidth="11" defaultRowHeight="15.75" x14ac:dyDescent="0.25"/>
  <cols>
    <col min="1" max="1" width="39" bestFit="1" customWidth="1"/>
    <col min="2" max="5" width="13.875" bestFit="1" customWidth="1"/>
  </cols>
  <sheetData>
    <row r="1" spans="1:6" x14ac:dyDescent="0.25">
      <c r="A1" s="1" t="s">
        <v>0</v>
      </c>
      <c r="B1" s="2" t="s">
        <v>1</v>
      </c>
    </row>
    <row r="4" spans="1:6" x14ac:dyDescent="0.25">
      <c r="A4" s="4" t="s">
        <v>5</v>
      </c>
    </row>
    <row r="5" spans="1:6" x14ac:dyDescent="0.25">
      <c r="D5" s="1" t="b">
        <v>1</v>
      </c>
      <c r="E5" s="3" t="b">
        <f>read_float(2)</f>
        <v>1</v>
      </c>
      <c r="F5" s="5"/>
    </row>
    <row r="6" spans="1:6" x14ac:dyDescent="0.25">
      <c r="B6" s="5">
        <v>2</v>
      </c>
      <c r="D6" s="1" t="b">
        <v>1</v>
      </c>
      <c r="E6" s="3" t="b">
        <f>read_float(B6)</f>
        <v>1</v>
      </c>
    </row>
    <row r="7" spans="1:6" x14ac:dyDescent="0.25">
      <c r="A7" s="5"/>
      <c r="D7" s="5"/>
      <c r="E7" s="5"/>
    </row>
    <row r="8" spans="1:6" x14ac:dyDescent="0.25">
      <c r="A8" s="4" t="s">
        <v>6</v>
      </c>
      <c r="D8" s="5"/>
      <c r="E8" s="5"/>
    </row>
    <row r="9" spans="1:6" x14ac:dyDescent="0.25">
      <c r="A9" s="5"/>
      <c r="D9" s="1">
        <v>2</v>
      </c>
      <c r="E9" s="3">
        <f>write_float()</f>
        <v>2</v>
      </c>
    </row>
    <row r="10" spans="1:6" x14ac:dyDescent="0.25">
      <c r="A10" s="5"/>
      <c r="D10" s="5"/>
      <c r="E10" s="5"/>
    </row>
    <row r="11" spans="1:6" x14ac:dyDescent="0.25">
      <c r="A11" s="4" t="s">
        <v>7</v>
      </c>
      <c r="D11" s="5"/>
      <c r="E11" s="5"/>
    </row>
    <row r="12" spans="1:6" x14ac:dyDescent="0.25">
      <c r="D12" s="1" t="b">
        <v>1</v>
      </c>
      <c r="E12" s="3" t="b">
        <f>read_string("xlwings")</f>
        <v>1</v>
      </c>
    </row>
    <row r="13" spans="1:6" x14ac:dyDescent="0.25">
      <c r="B13" s="5" t="s">
        <v>2</v>
      </c>
      <c r="D13" s="1" t="b">
        <v>1</v>
      </c>
      <c r="E13" s="3" t="b">
        <f>read_string(B13)</f>
        <v>1</v>
      </c>
    </row>
    <row r="14" spans="1:6" x14ac:dyDescent="0.25">
      <c r="A14" s="5"/>
      <c r="D14" s="5"/>
      <c r="E14" s="5"/>
    </row>
    <row r="15" spans="1:6" x14ac:dyDescent="0.25">
      <c r="A15" s="4" t="s">
        <v>8</v>
      </c>
      <c r="D15" s="5"/>
      <c r="E15" s="5"/>
    </row>
    <row r="16" spans="1:6" x14ac:dyDescent="0.25">
      <c r="D16" s="1" t="s">
        <v>2</v>
      </c>
      <c r="E16" s="3" t="str">
        <f>write_string()</f>
        <v>xlwings</v>
      </c>
    </row>
    <row r="17" spans="1:5" s="5" customFormat="1" x14ac:dyDescent="0.25"/>
    <row r="18" spans="1:5" x14ac:dyDescent="0.25">
      <c r="A18" s="4" t="s">
        <v>9</v>
      </c>
      <c r="D18" s="5"/>
      <c r="E18" s="5"/>
    </row>
    <row r="19" spans="1:5" x14ac:dyDescent="0.25">
      <c r="A19" s="5"/>
      <c r="D19" s="1" t="b">
        <v>1</v>
      </c>
      <c r="E19" s="3" t="b">
        <f>read_empty(A19)</f>
        <v>1</v>
      </c>
    </row>
    <row r="20" spans="1:5" x14ac:dyDescent="0.25">
      <c r="A20" s="5"/>
      <c r="D20" s="5"/>
      <c r="E20" s="5"/>
    </row>
    <row r="21" spans="1:5" x14ac:dyDescent="0.25">
      <c r="A21" s="4" t="s">
        <v>10</v>
      </c>
      <c r="D21" s="5"/>
      <c r="E21" s="5"/>
    </row>
    <row r="22" spans="1:5" x14ac:dyDescent="0.25">
      <c r="B22" s="6">
        <v>42019</v>
      </c>
      <c r="D22" s="1" t="b">
        <v>1</v>
      </c>
      <c r="E22" s="3" t="b">
        <f>read_date(B22)</f>
        <v>1</v>
      </c>
    </row>
    <row r="23" spans="1:5" x14ac:dyDescent="0.25">
      <c r="B23" s="6"/>
      <c r="D23" s="5"/>
      <c r="E23" s="5"/>
    </row>
    <row r="24" spans="1:5" x14ac:dyDescent="0.25">
      <c r="A24" s="4" t="s">
        <v>11</v>
      </c>
      <c r="B24" s="6"/>
    </row>
    <row r="25" spans="1:5" x14ac:dyDescent="0.25">
      <c r="B25" s="6"/>
      <c r="D25" s="8">
        <v>25568</v>
      </c>
      <c r="E25" s="9">
        <f>write_date()</f>
        <v>25568</v>
      </c>
    </row>
    <row r="26" spans="1:5" x14ac:dyDescent="0.25">
      <c r="B26" s="6"/>
      <c r="D26" s="6"/>
      <c r="E26" s="6"/>
    </row>
    <row r="27" spans="1:5" x14ac:dyDescent="0.25">
      <c r="A27" s="4" t="s">
        <v>12</v>
      </c>
      <c r="B27" s="12">
        <v>27805.546087962965</v>
      </c>
      <c r="D27" s="1" t="b">
        <v>1</v>
      </c>
      <c r="E27" s="3" t="b">
        <f>read_datetime(B27)</f>
        <v>1</v>
      </c>
    </row>
    <row r="28" spans="1:5" x14ac:dyDescent="0.25">
      <c r="B28" s="6"/>
      <c r="D28" s="6"/>
      <c r="E28" s="6"/>
    </row>
    <row r="29" spans="1:5" x14ac:dyDescent="0.25">
      <c r="A29" s="4" t="s">
        <v>13</v>
      </c>
      <c r="B29" s="6"/>
      <c r="D29" s="13">
        <v>27805.546087962965</v>
      </c>
      <c r="E29" s="14">
        <f>write_datetime()</f>
        <v>27805.546099537038</v>
      </c>
    </row>
    <row r="30" spans="1:5" x14ac:dyDescent="0.25">
      <c r="B30" s="6"/>
      <c r="D30" s="6"/>
      <c r="E30" s="6"/>
    </row>
    <row r="31" spans="1:5" x14ac:dyDescent="0.25">
      <c r="A31" s="4" t="s">
        <v>14</v>
      </c>
      <c r="D31" s="5"/>
      <c r="E31" s="5"/>
    </row>
    <row r="32" spans="1:5" x14ac:dyDescent="0.25">
      <c r="B32" s="5">
        <v>1</v>
      </c>
      <c r="C32">
        <v>2</v>
      </c>
      <c r="D32" s="1" t="b">
        <v>1</v>
      </c>
      <c r="E32" s="3" t="b">
        <f>read_horizontal_list(B32:C32)</f>
        <v>1</v>
      </c>
    </row>
    <row r="33" spans="1:6" x14ac:dyDescent="0.25">
      <c r="B33" s="5"/>
      <c r="D33" s="5"/>
      <c r="E33" s="5"/>
    </row>
    <row r="34" spans="1:6" x14ac:dyDescent="0.25">
      <c r="A34" s="4" t="s">
        <v>15</v>
      </c>
      <c r="D34" s="5"/>
      <c r="E34" s="5"/>
    </row>
    <row r="35" spans="1:6" x14ac:dyDescent="0.25">
      <c r="B35" s="5"/>
      <c r="C35" s="1">
        <v>1</v>
      </c>
      <c r="D35" s="1">
        <v>2</v>
      </c>
      <c r="E35" s="3">
        <f t="array" ref="E35:F35">write_horizontal_list()</f>
        <v>1</v>
      </c>
      <c r="F35" s="3">
        <v>2</v>
      </c>
    </row>
    <row r="36" spans="1:6" x14ac:dyDescent="0.25">
      <c r="B36" s="5"/>
      <c r="C36" s="5"/>
      <c r="D36" s="5"/>
      <c r="E36" s="5"/>
      <c r="F36" s="5"/>
    </row>
    <row r="37" spans="1:6" x14ac:dyDescent="0.25">
      <c r="A37" s="4" t="s">
        <v>16</v>
      </c>
      <c r="D37" s="5"/>
      <c r="E37" s="5"/>
    </row>
    <row r="38" spans="1:6" x14ac:dyDescent="0.25">
      <c r="B38" s="5">
        <v>1</v>
      </c>
      <c r="D38" s="1" t="b">
        <v>1</v>
      </c>
      <c r="E38" s="3" t="b">
        <f>read_vertical_list(B38:B39)</f>
        <v>1</v>
      </c>
    </row>
    <row r="39" spans="1:6" x14ac:dyDescent="0.25">
      <c r="B39" s="5">
        <v>2</v>
      </c>
      <c r="D39" s="5"/>
      <c r="E39" s="5"/>
    </row>
    <row r="40" spans="1:6" x14ac:dyDescent="0.25">
      <c r="A40" s="7" t="s">
        <v>17</v>
      </c>
      <c r="D40" s="1">
        <v>1</v>
      </c>
      <c r="E40" s="3">
        <f t="array" ref="E40:E41">write_vertical_list()</f>
        <v>1</v>
      </c>
    </row>
    <row r="41" spans="1:6" x14ac:dyDescent="0.25">
      <c r="A41" s="5"/>
      <c r="D41" s="1">
        <v>2</v>
      </c>
      <c r="E41" s="3">
        <v>2</v>
      </c>
    </row>
    <row r="42" spans="1:6" s="5" customFormat="1" x14ac:dyDescent="0.25"/>
    <row r="43" spans="1:6" s="5" customFormat="1" x14ac:dyDescent="0.25">
      <c r="A43" s="7" t="s">
        <v>18</v>
      </c>
      <c r="B43" s="5">
        <v>1</v>
      </c>
      <c r="C43" s="5">
        <v>2</v>
      </c>
      <c r="D43" s="1" t="b">
        <v>1</v>
      </c>
      <c r="E43" s="3" t="b">
        <f>read_2dlist(B43:C44)</f>
        <v>1</v>
      </c>
    </row>
    <row r="44" spans="1:6" s="5" customFormat="1" x14ac:dyDescent="0.25">
      <c r="B44" s="5">
        <v>3</v>
      </c>
      <c r="C44" s="5">
        <v>4</v>
      </c>
    </row>
    <row r="45" spans="1:6" s="5" customFormat="1" x14ac:dyDescent="0.25"/>
    <row r="46" spans="1:6" s="5" customFormat="1" x14ac:dyDescent="0.25">
      <c r="A46" s="7" t="s">
        <v>19</v>
      </c>
      <c r="C46" s="1">
        <v>1</v>
      </c>
      <c r="D46" s="1">
        <v>2</v>
      </c>
      <c r="E46" s="3">
        <f t="array" ref="E46:F47">write_2dlist()</f>
        <v>1</v>
      </c>
      <c r="F46" s="3">
        <v>2</v>
      </c>
    </row>
    <row r="47" spans="1:6" s="5" customFormat="1" x14ac:dyDescent="0.25">
      <c r="C47" s="1">
        <v>3</v>
      </c>
      <c r="D47" s="1">
        <v>4</v>
      </c>
      <c r="E47" s="3">
        <v>3</v>
      </c>
      <c r="F47" s="3">
        <v>4</v>
      </c>
    </row>
    <row r="48" spans="1:6" s="5" customFormat="1" x14ac:dyDescent="0.25"/>
    <row r="49" spans="1:6" x14ac:dyDescent="0.25">
      <c r="A49" s="4" t="s">
        <v>20</v>
      </c>
      <c r="D49" s="5"/>
      <c r="E49" s="5"/>
    </row>
    <row r="50" spans="1:6" x14ac:dyDescent="0.25">
      <c r="B50">
        <v>2</v>
      </c>
      <c r="D50" s="1" t="b">
        <v>1</v>
      </c>
      <c r="E50" s="3" t="b">
        <f>read_ndim1(B50)</f>
        <v>1</v>
      </c>
    </row>
    <row r="51" spans="1:6" x14ac:dyDescent="0.25">
      <c r="A51" s="5"/>
      <c r="B51" s="5"/>
    </row>
    <row r="52" spans="1:6" x14ac:dyDescent="0.25">
      <c r="A52" s="4" t="s">
        <v>21</v>
      </c>
      <c r="D52" s="5"/>
      <c r="E52" s="5"/>
    </row>
    <row r="53" spans="1:6" x14ac:dyDescent="0.25">
      <c r="B53">
        <v>2</v>
      </c>
      <c r="D53" s="1" t="b">
        <v>1</v>
      </c>
      <c r="E53" s="3" t="b">
        <f>read_ndim2(B53)</f>
        <v>1</v>
      </c>
    </row>
    <row r="55" spans="1:6" x14ac:dyDescent="0.25">
      <c r="A55" s="4" t="s">
        <v>22</v>
      </c>
    </row>
    <row r="56" spans="1:6" x14ac:dyDescent="0.25">
      <c r="B56">
        <v>1</v>
      </c>
      <c r="C56">
        <v>2</v>
      </c>
      <c r="D56" s="1" t="b">
        <v>1</v>
      </c>
      <c r="E56" s="3" t="b">
        <f>read_transpose(B56:C57)</f>
        <v>1</v>
      </c>
    </row>
    <row r="57" spans="1:6" x14ac:dyDescent="0.25">
      <c r="B57">
        <v>3</v>
      </c>
      <c r="C57">
        <v>4</v>
      </c>
    </row>
    <row r="58" spans="1:6" x14ac:dyDescent="0.25">
      <c r="D58" s="5"/>
      <c r="E58" s="5"/>
    </row>
    <row r="59" spans="1:6" x14ac:dyDescent="0.25">
      <c r="A59" s="4" t="s">
        <v>23</v>
      </c>
      <c r="C59" s="1">
        <v>1</v>
      </c>
      <c r="D59" s="1">
        <v>3</v>
      </c>
      <c r="E59" s="3">
        <f t="array" ref="E59:F60">write_transpose()</f>
        <v>1</v>
      </c>
      <c r="F59" s="3">
        <v>3</v>
      </c>
    </row>
    <row r="60" spans="1:6" x14ac:dyDescent="0.25">
      <c r="C60" s="1">
        <v>2</v>
      </c>
      <c r="D60" s="1">
        <v>4</v>
      </c>
      <c r="E60" s="3">
        <v>2</v>
      </c>
      <c r="F60" s="3">
        <v>4</v>
      </c>
    </row>
    <row r="61" spans="1:6" x14ac:dyDescent="0.25">
      <c r="D61" s="5"/>
      <c r="E61" s="5"/>
    </row>
    <row r="62" spans="1:6" x14ac:dyDescent="0.25">
      <c r="A62" s="4" t="s">
        <v>24</v>
      </c>
      <c r="B62">
        <v>1</v>
      </c>
      <c r="C62" s="10">
        <v>42017</v>
      </c>
      <c r="D62" s="1" t="b">
        <v>1</v>
      </c>
      <c r="E62" s="3" t="b">
        <f>read_dates_as1(B62:C63)</f>
        <v>1</v>
      </c>
    </row>
    <row r="63" spans="1:6" x14ac:dyDescent="0.25">
      <c r="B63" s="10">
        <v>36861</v>
      </c>
      <c r="C63" s="11">
        <v>4</v>
      </c>
    </row>
    <row r="64" spans="1:6" x14ac:dyDescent="0.25">
      <c r="B64" s="10"/>
      <c r="C64" s="11"/>
    </row>
    <row r="65" spans="1:5" x14ac:dyDescent="0.25">
      <c r="A65" s="4" t="s">
        <v>25</v>
      </c>
      <c r="B65" s="10"/>
      <c r="C65" s="12">
        <v>38367.541666666664</v>
      </c>
      <c r="D65" s="1" t="b">
        <v>1</v>
      </c>
      <c r="E65" s="3" t="b">
        <f>read_dates_as2(C65)</f>
        <v>1</v>
      </c>
    </row>
    <row r="66" spans="1:5" x14ac:dyDescent="0.25">
      <c r="B66" s="10"/>
      <c r="C66" s="11"/>
    </row>
    <row r="68" spans="1:5" x14ac:dyDescent="0.25">
      <c r="A68" s="4" t="s">
        <v>26</v>
      </c>
      <c r="B68">
        <v>1</v>
      </c>
      <c r="C68" s="10">
        <v>42017</v>
      </c>
      <c r="D68" s="1" t="b">
        <v>1</v>
      </c>
      <c r="E68" s="3" t="b">
        <f>read_dates_as3(B68:C69)</f>
        <v>1</v>
      </c>
    </row>
    <row r="69" spans="1:5" x14ac:dyDescent="0.25">
      <c r="B69" s="10">
        <v>36861</v>
      </c>
      <c r="C69" s="11">
        <v>4</v>
      </c>
    </row>
    <row r="71" spans="1:5" x14ac:dyDescent="0.25">
      <c r="A71" s="4" t="s">
        <v>27</v>
      </c>
      <c r="B71">
        <v>1</v>
      </c>
      <c r="C71" s="10"/>
      <c r="D71" s="1" t="b">
        <v>1</v>
      </c>
      <c r="E71" s="3" t="b">
        <f>read_empty_as(B71:C72)</f>
        <v>1</v>
      </c>
    </row>
    <row r="72" spans="1:5" x14ac:dyDescent="0.25">
      <c r="B72" s="10"/>
      <c r="C72" s="11">
        <v>4</v>
      </c>
    </row>
    <row r="74" spans="1:5" x14ac:dyDescent="0.25">
      <c r="A74" s="4" t="s">
        <v>28</v>
      </c>
      <c r="B74">
        <v>1</v>
      </c>
      <c r="D74" s="1" t="b">
        <v>1</v>
      </c>
      <c r="E74" s="3" t="b">
        <f>read_scalar_nparray(B74)</f>
        <v>1</v>
      </c>
    </row>
    <row r="75" spans="1:5" x14ac:dyDescent="0.25">
      <c r="A75" s="4"/>
      <c r="D75" s="5"/>
      <c r="E75" s="5"/>
    </row>
    <row r="76" spans="1:5" x14ac:dyDescent="0.25">
      <c r="A76" s="4" t="s">
        <v>29</v>
      </c>
      <c r="D76" s="5"/>
      <c r="E76" s="5"/>
    </row>
    <row r="77" spans="1:5" x14ac:dyDescent="0.25">
      <c r="A77" s="4"/>
      <c r="D77" s="1" t="b">
        <v>1</v>
      </c>
      <c r="E77" s="3" t="b">
        <f>read_empty_nparray(B77)</f>
        <v>1</v>
      </c>
    </row>
    <row r="79" spans="1:5" x14ac:dyDescent="0.25">
      <c r="A79" s="4" t="s">
        <v>30</v>
      </c>
    </row>
    <row r="80" spans="1:5" x14ac:dyDescent="0.25">
      <c r="B80">
        <v>1</v>
      </c>
      <c r="C80">
        <v>2</v>
      </c>
      <c r="D80" s="1" t="b">
        <v>1</v>
      </c>
      <c r="E80" s="3" t="b">
        <f>read_horizontal_nparray(B80:C80)</f>
        <v>1</v>
      </c>
    </row>
    <row r="82" spans="1:6" x14ac:dyDescent="0.25">
      <c r="A82" s="4" t="s">
        <v>31</v>
      </c>
    </row>
    <row r="83" spans="1:6" x14ac:dyDescent="0.25">
      <c r="B83">
        <v>1</v>
      </c>
      <c r="D83" s="1" t="b">
        <v>1</v>
      </c>
      <c r="E83" s="3" t="b">
        <f>read_vertical_nparray(B83:B84)</f>
        <v>1</v>
      </c>
    </row>
    <row r="84" spans="1:6" x14ac:dyDescent="0.25">
      <c r="B84">
        <v>2</v>
      </c>
    </row>
    <row r="86" spans="1:6" x14ac:dyDescent="0.25">
      <c r="A86" s="4" t="s">
        <v>32</v>
      </c>
    </row>
    <row r="87" spans="1:6" x14ac:dyDescent="0.25">
      <c r="B87">
        <v>2</v>
      </c>
      <c r="D87" s="1" t="b">
        <v>1</v>
      </c>
      <c r="E87" s="3" t="b">
        <f>read_ndim1_nparray(B87)</f>
        <v>1</v>
      </c>
    </row>
    <row r="89" spans="1:6" x14ac:dyDescent="0.25">
      <c r="A89" s="4" t="s">
        <v>33</v>
      </c>
    </row>
    <row r="90" spans="1:6" x14ac:dyDescent="0.25">
      <c r="B90">
        <v>2</v>
      </c>
      <c r="D90" s="1" t="b">
        <v>1</v>
      </c>
      <c r="E90" s="3" t="b">
        <f>read_ndim2_nparray(B90)</f>
        <v>1</v>
      </c>
    </row>
    <row r="92" spans="1:6" x14ac:dyDescent="0.25">
      <c r="A92" s="4" t="s">
        <v>34</v>
      </c>
    </row>
    <row r="93" spans="1:6" x14ac:dyDescent="0.25">
      <c r="B93">
        <v>1</v>
      </c>
      <c r="C93">
        <v>2</v>
      </c>
      <c r="D93" s="1" t="b">
        <v>1</v>
      </c>
      <c r="E93" s="3" t="b">
        <f>read_transpose_nparray(B93:C94)</f>
        <v>1</v>
      </c>
    </row>
    <row r="94" spans="1:6" x14ac:dyDescent="0.25">
      <c r="B94">
        <v>3</v>
      </c>
      <c r="C94">
        <v>4</v>
      </c>
    </row>
    <row r="96" spans="1:6" x14ac:dyDescent="0.25">
      <c r="A96" s="4" t="s">
        <v>35</v>
      </c>
      <c r="C96" s="1">
        <v>1</v>
      </c>
      <c r="D96" s="1">
        <v>3</v>
      </c>
      <c r="E96" s="3">
        <f t="array" ref="E96:F97">write_transpose_nparray()</f>
        <v>1</v>
      </c>
      <c r="F96" s="3">
        <v>3</v>
      </c>
    </row>
    <row r="97" spans="1:6" x14ac:dyDescent="0.25">
      <c r="C97" s="1">
        <v>2</v>
      </c>
      <c r="D97" s="1">
        <v>4</v>
      </c>
      <c r="E97" s="3">
        <v>2</v>
      </c>
      <c r="F97" s="3">
        <v>4</v>
      </c>
    </row>
    <row r="99" spans="1:6" x14ac:dyDescent="0.25">
      <c r="A99" s="4" t="s">
        <v>36</v>
      </c>
    </row>
    <row r="100" spans="1:6" x14ac:dyDescent="0.25">
      <c r="B100" s="10">
        <v>36880</v>
      </c>
      <c r="D100" s="1" t="b">
        <v>1</v>
      </c>
      <c r="E100" s="3" t="b">
        <f>read_date_nparray(B100)</f>
        <v>1</v>
      </c>
    </row>
    <row r="102" spans="1:6" x14ac:dyDescent="0.25">
      <c r="A102" s="4" t="s">
        <v>37</v>
      </c>
    </row>
    <row r="103" spans="1:6" x14ac:dyDescent="0.25">
      <c r="B103" s="10">
        <v>36880</v>
      </c>
      <c r="D103" s="1" t="b">
        <v>1</v>
      </c>
      <c r="E103" s="3" t="b">
        <f>read_dates_as_nparray(B103)</f>
        <v>1</v>
      </c>
    </row>
    <row r="105" spans="1:6" x14ac:dyDescent="0.25">
      <c r="A105" s="4" t="s">
        <v>38</v>
      </c>
    </row>
    <row r="106" spans="1:6" x14ac:dyDescent="0.25">
      <c r="B106" s="10"/>
      <c r="D106" s="1" t="b">
        <v>1</v>
      </c>
      <c r="E106" s="3" t="b">
        <f>read_empty_as_nparray(B106)</f>
        <v>1</v>
      </c>
    </row>
    <row r="108" spans="1:6" x14ac:dyDescent="0.25">
      <c r="A108" s="4" t="s">
        <v>39</v>
      </c>
    </row>
    <row r="109" spans="1:6" x14ac:dyDescent="0.25">
      <c r="B109">
        <v>1</v>
      </c>
      <c r="D109" s="1" t="b">
        <v>1</v>
      </c>
      <c r="E109" s="3" t="b">
        <f>read_series_noheader_noindex(B109:B110)</f>
        <v>1</v>
      </c>
    </row>
    <row r="110" spans="1:6" x14ac:dyDescent="0.25">
      <c r="B110">
        <v>2</v>
      </c>
    </row>
    <row r="112" spans="1:6" x14ac:dyDescent="0.25">
      <c r="A112" s="4" t="s">
        <v>39</v>
      </c>
    </row>
    <row r="113" spans="1:5" x14ac:dyDescent="0.25">
      <c r="B113">
        <v>10</v>
      </c>
      <c r="C113">
        <v>1</v>
      </c>
      <c r="D113" s="1" t="b">
        <v>1</v>
      </c>
      <c r="E113" s="3" t="b">
        <f>read_series_noheader_index(B113:C114)</f>
        <v>1</v>
      </c>
    </row>
    <row r="114" spans="1:5" x14ac:dyDescent="0.25">
      <c r="B114">
        <v>20</v>
      </c>
      <c r="C114">
        <v>2</v>
      </c>
    </row>
    <row r="116" spans="1:5" x14ac:dyDescent="0.25">
      <c r="A116" s="4" t="s">
        <v>39</v>
      </c>
      <c r="C116" t="s">
        <v>3</v>
      </c>
    </row>
    <row r="117" spans="1:5" x14ac:dyDescent="0.25">
      <c r="C117">
        <v>1</v>
      </c>
      <c r="D117" s="1" t="b">
        <v>1</v>
      </c>
      <c r="E117" s="3" t="b">
        <f>read_series_header_noindex(C116:C118)</f>
        <v>1</v>
      </c>
    </row>
    <row r="118" spans="1:5" x14ac:dyDescent="0.25">
      <c r="C118">
        <v>2</v>
      </c>
    </row>
    <row r="120" spans="1:5" x14ac:dyDescent="0.25">
      <c r="A120" s="4" t="s">
        <v>40</v>
      </c>
      <c r="B120" t="s">
        <v>4</v>
      </c>
      <c r="C120" t="s">
        <v>3</v>
      </c>
    </row>
    <row r="121" spans="1:5" x14ac:dyDescent="0.25">
      <c r="B121">
        <v>10</v>
      </c>
      <c r="C121">
        <v>1</v>
      </c>
      <c r="D121" s="1" t="b">
        <v>1</v>
      </c>
      <c r="E121" s="3" t="b">
        <f>read_series_header_named_index(B120:C122)</f>
        <v>1</v>
      </c>
    </row>
    <row r="122" spans="1:5" x14ac:dyDescent="0.25">
      <c r="B122">
        <v>20</v>
      </c>
      <c r="C122">
        <v>2</v>
      </c>
    </row>
    <row r="124" spans="1:5" x14ac:dyDescent="0.25">
      <c r="A124" s="4" t="s">
        <v>41</v>
      </c>
      <c r="C124" t="s">
        <v>3</v>
      </c>
    </row>
    <row r="125" spans="1:5" x14ac:dyDescent="0.25">
      <c r="B125">
        <v>10</v>
      </c>
      <c r="C125">
        <v>1</v>
      </c>
      <c r="D125" s="1" t="b">
        <v>1</v>
      </c>
      <c r="E125" s="3" t="b">
        <f>read_series_header_nameless_index(B124:C126)</f>
        <v>1</v>
      </c>
    </row>
    <row r="126" spans="1:5" x14ac:dyDescent="0.25">
      <c r="B126">
        <v>20</v>
      </c>
      <c r="C126">
        <v>2</v>
      </c>
    </row>
    <row r="128" spans="1:5" x14ac:dyDescent="0.25">
      <c r="A128" s="4" t="s">
        <v>42</v>
      </c>
    </row>
    <row r="129" spans="1:6" x14ac:dyDescent="0.25">
      <c r="D129" s="1">
        <v>1</v>
      </c>
      <c r="E129" s="3">
        <f t="array" ref="E129:E130">write_series_noheader_noindex()</f>
        <v>1</v>
      </c>
    </row>
    <row r="130" spans="1:6" x14ac:dyDescent="0.25">
      <c r="D130" s="1">
        <v>2</v>
      </c>
      <c r="E130" s="3">
        <v>2</v>
      </c>
    </row>
    <row r="132" spans="1:6" x14ac:dyDescent="0.25">
      <c r="A132" s="4" t="s">
        <v>43</v>
      </c>
    </row>
    <row r="133" spans="1:6" x14ac:dyDescent="0.25">
      <c r="C133" s="1">
        <v>10</v>
      </c>
      <c r="D133" s="1">
        <v>1</v>
      </c>
      <c r="E133" s="3">
        <f t="array" ref="E133:F134">write_series_noheader_index()</f>
        <v>10</v>
      </c>
      <c r="F133" s="3">
        <v>1</v>
      </c>
    </row>
    <row r="134" spans="1:6" x14ac:dyDescent="0.25">
      <c r="C134" s="1">
        <v>20</v>
      </c>
      <c r="D134" s="1">
        <v>2</v>
      </c>
      <c r="E134" s="3">
        <v>20</v>
      </c>
      <c r="F134" s="3">
        <v>2</v>
      </c>
    </row>
    <row r="136" spans="1:6" x14ac:dyDescent="0.25">
      <c r="A136" s="4" t="s">
        <v>44</v>
      </c>
    </row>
    <row r="137" spans="1:6" x14ac:dyDescent="0.25">
      <c r="D137" s="1" t="s">
        <v>3</v>
      </c>
      <c r="E137" s="3" t="str">
        <f t="array" ref="E137:E139">write_series_header_noindex()</f>
        <v>name</v>
      </c>
    </row>
    <row r="138" spans="1:6" x14ac:dyDescent="0.25">
      <c r="D138" s="1">
        <v>1</v>
      </c>
      <c r="E138" s="3">
        <v>1</v>
      </c>
    </row>
    <row r="139" spans="1:6" x14ac:dyDescent="0.25">
      <c r="D139" s="1">
        <v>2</v>
      </c>
      <c r="E139" s="3">
        <v>2</v>
      </c>
    </row>
    <row r="141" spans="1:6" x14ac:dyDescent="0.25">
      <c r="A141" s="4" t="s">
        <v>45</v>
      </c>
    </row>
    <row r="142" spans="1:6" x14ac:dyDescent="0.25">
      <c r="C142" s="1" t="s">
        <v>4</v>
      </c>
      <c r="D142" s="1" t="s">
        <v>3</v>
      </c>
      <c r="E142" s="3" t="str">
        <f t="array" ref="E142:F144">write_series_header_named_index()</f>
        <v>ix</v>
      </c>
      <c r="F142" s="3" t="str">
        <v>name</v>
      </c>
    </row>
    <row r="143" spans="1:6" x14ac:dyDescent="0.25">
      <c r="C143" s="1">
        <v>10</v>
      </c>
      <c r="D143" s="1">
        <v>1</v>
      </c>
      <c r="E143" s="3">
        <v>10</v>
      </c>
      <c r="F143" s="3">
        <v>1</v>
      </c>
    </row>
    <row r="144" spans="1:6" x14ac:dyDescent="0.25">
      <c r="C144" s="1">
        <v>20</v>
      </c>
      <c r="D144" s="1">
        <v>2</v>
      </c>
      <c r="E144" s="3">
        <v>20</v>
      </c>
      <c r="F144" s="3">
        <v>2</v>
      </c>
    </row>
    <row r="146" spans="1:6" x14ac:dyDescent="0.25">
      <c r="A146" s="4" t="s">
        <v>46</v>
      </c>
    </row>
    <row r="147" spans="1:6" x14ac:dyDescent="0.25">
      <c r="C147" s="1"/>
      <c r="D147" s="1" t="s">
        <v>3</v>
      </c>
      <c r="E147" s="3" t="str">
        <f t="array" ref="E147:F149">write_series_header_nameless_index()</f>
        <v/>
      </c>
      <c r="F147" s="3" t="str">
        <v>name</v>
      </c>
    </row>
    <row r="148" spans="1:6" x14ac:dyDescent="0.25">
      <c r="C148" s="1">
        <v>10</v>
      </c>
      <c r="D148" s="1">
        <v>1</v>
      </c>
      <c r="E148" s="3">
        <v>10</v>
      </c>
      <c r="F148" s="3">
        <v>1</v>
      </c>
    </row>
    <row r="149" spans="1:6" x14ac:dyDescent="0.25">
      <c r="C149" s="1">
        <v>20</v>
      </c>
      <c r="D149" s="1">
        <v>2</v>
      </c>
      <c r="E149" s="3">
        <v>20</v>
      </c>
      <c r="F149" s="3">
        <v>2</v>
      </c>
    </row>
    <row r="151" spans="1:6" x14ac:dyDescent="0.25">
      <c r="A151" s="4" t="s">
        <v>47</v>
      </c>
      <c r="C151" t="s">
        <v>48</v>
      </c>
      <c r="D151" s="1" t="b">
        <v>1</v>
      </c>
      <c r="E151" s="3" t="str">
        <f>read_timeseries(B151:C153)</f>
        <v>DatetimeIndex(['2000-12-20', '2000-12-21'], dtype='datetime64[ns]', freq=None)</v>
      </c>
    </row>
    <row r="152" spans="1:6" x14ac:dyDescent="0.25">
      <c r="B152" s="10">
        <v>36880</v>
      </c>
      <c r="C152" s="11">
        <v>1.5</v>
      </c>
    </row>
    <row r="153" spans="1:6" x14ac:dyDescent="0.25">
      <c r="B153" s="10">
        <v>36881</v>
      </c>
      <c r="C153" s="11">
        <v>2.5</v>
      </c>
    </row>
    <row r="154" spans="1:6" x14ac:dyDescent="0.25">
      <c r="B154" s="10"/>
      <c r="C154" s="11"/>
    </row>
    <row r="159" spans="1:6" x14ac:dyDescent="0.25">
      <c r="C159" s="10"/>
    </row>
    <row r="160" spans="1:6" x14ac:dyDescent="0.25">
      <c r="C160" s="10"/>
    </row>
  </sheetData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2016-02-17T22:11:05Z</dcterms:modified>
</cp:coreProperties>
</file>