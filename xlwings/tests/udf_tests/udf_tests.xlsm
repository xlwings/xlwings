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1300" windowHeight="12585" tabRatio="500"/>
  </bookViews>
  <sheets>
    <sheet name="Sheet1" sheetId="1" r:id="rId1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8" i="1" l="1"/>
  <c r="E39" i="1" a="1"/>
  <c r="E39" i="1"/>
  <c r="E40" i="1"/>
  <c r="E22" i="1"/>
  <c r="E34" i="1" a="1"/>
  <c r="E34" i="1"/>
  <c r="F34" i="1"/>
  <c r="E16" i="1"/>
  <c r="E9" i="1"/>
  <c r="E25" i="1"/>
  <c r="E19" i="1"/>
  <c r="E37" i="1"/>
  <c r="E31" i="1"/>
  <c r="E13" i="1"/>
  <c r="E12" i="1"/>
  <c r="E46" i="1"/>
  <c r="E43" i="1"/>
  <c r="E6" i="1"/>
  <c r="E5" i="1"/>
  <c r="E67" i="1"/>
  <c r="F51" i="1" a="1"/>
  <c r="F51" i="1"/>
  <c r="G51" i="1"/>
  <c r="F52" i="1"/>
  <c r="G52" i="1"/>
  <c r="D51" i="1"/>
  <c r="F55" i="1" a="1"/>
  <c r="F55" i="1"/>
  <c r="G55" i="1"/>
  <c r="F56" i="1"/>
  <c r="G56" i="1"/>
  <c r="F63" i="1" a="1"/>
  <c r="F63" i="1"/>
  <c r="G63" i="1"/>
  <c r="F64" i="1"/>
  <c r="G64" i="1"/>
  <c r="F59" i="1" a="1"/>
  <c r="F59" i="1"/>
  <c r="G59" i="1"/>
  <c r="F60" i="1"/>
  <c r="G60" i="1"/>
  <c r="D60" i="1"/>
  <c r="E60" i="1"/>
  <c r="E59" i="1"/>
  <c r="D59" i="1"/>
</calcChain>
</file>

<file path=xl/sharedStrings.xml><?xml version="1.0" encoding="utf-8"?>
<sst xmlns="http://schemas.openxmlformats.org/spreadsheetml/2006/main" count="23" uniqueCount="22">
  <si>
    <t>epected</t>
  </si>
  <si>
    <t>actual</t>
  </si>
  <si>
    <t>test_transpose</t>
  </si>
  <si>
    <t>test_nparray1</t>
  </si>
  <si>
    <t>test_nparray_transpose</t>
  </si>
  <si>
    <t>test_2dlist</t>
  </si>
  <si>
    <t>test_df_read_noindex_noheader</t>
  </si>
  <si>
    <t>test_read_float</t>
  </si>
  <si>
    <t>test_read_ndim1</t>
  </si>
  <si>
    <t>test_read_ndim2</t>
  </si>
  <si>
    <t>test_read_string</t>
  </si>
  <si>
    <t>xlwings</t>
  </si>
  <si>
    <t>test_read_horizontal_list</t>
  </si>
  <si>
    <t>test_read_vertical_list</t>
  </si>
  <si>
    <t>test_read_empty</t>
  </si>
  <si>
    <t>test_read_date</t>
  </si>
  <si>
    <t>test_write_float</t>
  </si>
  <si>
    <t>test_write_string</t>
  </si>
  <si>
    <t>test_write_empty</t>
  </si>
  <si>
    <t>test_write_horizontal_list</t>
  </si>
  <si>
    <t>test_write_vertical_list</t>
  </si>
  <si>
    <t>test_write_date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</si>
</sst>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68"/>
  <sheetViews>
    <sheetView tabSelected="1" zoomScale="80" zoomScaleNormal="80" workbookViewId="0">
      <selection activeCell="A66" sqref="A66"/>
    </sheetView>
  </sheetViews>
  <sheetFormatPr defaultColWidth="11" defaultRowHeight="15.75" x14ac:dyDescent="0.25"/>
  <cols>
    <col min="1" max="1" width="22.25" customWidth="1"/>
    <col min="4" max="4" width="11.125" customWidth="1"/>
    <col min="5" max="5" width="11.75" customWidth="1"/>
  </cols>
  <sheetData>
    <row r="1" spans="1:6" x14ac:dyDescent="0.25">
      <c r="A1" s="1" t="s">
        <v>0</v>
      </c>
      <c r="B1" s="2" t="s">
        <v>1</v>
      </c>
    </row>
    <row r="4" spans="1:6" x14ac:dyDescent="0.25">
      <c r="A4" s="4" t="s">
        <v>7</v>
      </c>
    </row>
    <row r="5" spans="1:6" x14ac:dyDescent="0.25">
      <c r="D5" s="1" t="b">
        <v>1</v>
      </c>
      <c r="E5" s="3" t="b">
        <f>test_read_float(2)</f>
        <v>1</v>
      </c>
      <c r="F5" s="5"/>
    </row>
    <row r="6" spans="1:6" x14ac:dyDescent="0.25">
      <c r="B6" s="5">
        <v>2</v>
      </c>
      <c r="D6" s="1" t="b">
        <v>1</v>
      </c>
      <c r="E6" s="3" t="b">
        <f>test_read_float(B6)</f>
        <v>1</v>
      </c>
    </row>
    <row r="7" spans="1:6" x14ac:dyDescent="0.25">
      <c r="A7" s="5"/>
      <c r="D7" s="5"/>
      <c r="E7" s="5"/>
    </row>
    <row r="8" spans="1:6" x14ac:dyDescent="0.25">
      <c r="A8" s="4" t="s">
        <v>16</v>
      </c>
      <c r="D8" s="5"/>
      <c r="E8" s="5"/>
    </row>
    <row r="9" spans="1:6" x14ac:dyDescent="0.25">
      <c r="A9" s="5"/>
      <c r="D9" s="1">
        <v>2</v>
      </c>
      <c r="E9" s="3">
        <f>test_write_float()</f>
        <v>2</v>
      </c>
    </row>
    <row r="10" spans="1:6" x14ac:dyDescent="0.25">
      <c r="A10" s="5"/>
      <c r="D10" s="5"/>
      <c r="E10" s="5"/>
    </row>
    <row r="11" spans="1:6" x14ac:dyDescent="0.25">
      <c r="A11" s="4" t="s">
        <v>10</v>
      </c>
      <c r="D11" s="5"/>
      <c r="E11" s="5"/>
    </row>
    <row r="12" spans="1:6" x14ac:dyDescent="0.25">
      <c r="D12" s="1" t="b">
        <v>1</v>
      </c>
      <c r="E12" s="3" t="b">
        <f>test_read_string("xlwings")</f>
        <v>1</v>
      </c>
    </row>
    <row r="13" spans="1:6" x14ac:dyDescent="0.25">
      <c r="B13" s="5" t="s">
        <v>11</v>
      </c>
      <c r="D13" s="1" t="b">
        <v>1</v>
      </c>
      <c r="E13" s="3" t="b">
        <f>test_read_string(B13)</f>
        <v>1</v>
      </c>
    </row>
    <row r="14" spans="1:6" x14ac:dyDescent="0.25">
      <c r="A14" s="5"/>
      <c r="D14" s="5"/>
      <c r="E14" s="5"/>
    </row>
    <row r="15" spans="1:6" x14ac:dyDescent="0.25">
      <c r="A15" s="4" t="s">
        <v>17</v>
      </c>
      <c r="D15" s="5"/>
      <c r="E15" s="5"/>
    </row>
    <row r="16" spans="1:6" x14ac:dyDescent="0.25">
      <c r="D16" s="1" t="s">
        <v>11</v>
      </c>
      <c r="E16" s="3" t="str">
        <f>test_write_string()</f>
        <v>xlwings</v>
      </c>
    </row>
    <row r="17" spans="1:5" s="5" customFormat="1" x14ac:dyDescent="0.25"/>
    <row r="18" spans="1:5" x14ac:dyDescent="0.25">
      <c r="A18" s="4" t="s">
        <v>14</v>
      </c>
      <c r="D18" s="5"/>
      <c r="E18" s="5"/>
    </row>
    <row r="19" spans="1:5" x14ac:dyDescent="0.25">
      <c r="A19" s="5"/>
      <c r="D19" s="1" t="b">
        <v>1</v>
      </c>
      <c r="E19" s="3" t="b">
        <f>test_read_empty(A19)</f>
        <v>1</v>
      </c>
    </row>
    <row r="20" spans="1:5" x14ac:dyDescent="0.25">
      <c r="A20" s="5"/>
      <c r="D20" s="5"/>
      <c r="E20" s="5"/>
    </row>
    <row r="21" spans="1:5" x14ac:dyDescent="0.25">
      <c r="A21" s="4" t="s">
        <v>18</v>
      </c>
      <c r="D21" s="5"/>
      <c r="E21" s="5"/>
    </row>
    <row r="22" spans="1:5" x14ac:dyDescent="0.25">
      <c r="A22" s="5"/>
      <c r="D22" s="1"/>
      <c r="E22" s="3" t="e">
        <f>test_write_empty()</f>
        <v>#VALUE!</v>
      </c>
    </row>
    <row r="23" spans="1:5" x14ac:dyDescent="0.25">
      <c r="A23" s="5"/>
      <c r="D23" s="5"/>
      <c r="E23" s="5"/>
    </row>
    <row r="24" spans="1:5" x14ac:dyDescent="0.25">
      <c r="A24" s="4" t="s">
        <v>15</v>
      </c>
      <c r="D24" s="5"/>
      <c r="E24" s="5"/>
    </row>
    <row r="25" spans="1:5" x14ac:dyDescent="0.25">
      <c r="B25" s="6">
        <v>42019</v>
      </c>
      <c r="D25" s="1" t="b">
        <v>1</v>
      </c>
      <c r="E25" s="3" t="b">
        <f>test_read_date(B25)</f>
        <v>1</v>
      </c>
    </row>
    <row r="26" spans="1:5" x14ac:dyDescent="0.25">
      <c r="B26" s="6"/>
      <c r="D26" s="5"/>
      <c r="E26" s="5"/>
    </row>
    <row r="27" spans="1:5" x14ac:dyDescent="0.25">
      <c r="A27" s="4" t="s">
        <v>21</v>
      </c>
      <c r="B27" s="6"/>
    </row>
    <row r="28" spans="1:5" x14ac:dyDescent="0.25">
      <c r="B28" s="6"/>
      <c r="D28" s="8">
        <v>25568</v>
      </c>
      <c r="E28" s="9">
        <f>test_write_date()</f>
        <v>25568</v>
      </c>
    </row>
    <row r="29" spans="1:5" s="5" customFormat="1" x14ac:dyDescent="0.25"/>
    <row r="30" spans="1:5" x14ac:dyDescent="0.25">
      <c r="A30" s="4" t="s">
        <v>12</v>
      </c>
      <c r="D30" s="5"/>
      <c r="E30" s="5"/>
    </row>
    <row r="31" spans="1:5" x14ac:dyDescent="0.25">
      <c r="B31" s="5">
        <v>1</v>
      </c>
      <c r="C31">
        <v>2</v>
      </c>
      <c r="D31" s="1" t="b">
        <v>1</v>
      </c>
      <c r="E31" s="3" t="b">
        <f>test_read_horizontal_list(B31:C31)</f>
        <v>1</v>
      </c>
    </row>
    <row r="32" spans="1:5" x14ac:dyDescent="0.25">
      <c r="B32" s="5"/>
      <c r="D32" s="5"/>
      <c r="E32" s="5"/>
    </row>
    <row r="33" spans="1:6" x14ac:dyDescent="0.25">
      <c r="A33" s="4" t="s">
        <v>19</v>
      </c>
      <c r="D33" s="5"/>
      <c r="E33" s="5"/>
    </row>
    <row r="34" spans="1:6" x14ac:dyDescent="0.25">
      <c r="B34" s="5"/>
      <c r="C34" s="1">
        <v>1</v>
      </c>
      <c r="D34" s="1">
        <v>2</v>
      </c>
      <c r="E34" s="3">
        <f t="array" ref="E34:F34">test_write_horizontal_list()</f>
        <v>1</v>
      </c>
      <c r="F34" s="3">
        <v>2</v>
      </c>
    </row>
    <row r="35" spans="1:6" x14ac:dyDescent="0.25">
      <c r="B35" s="5"/>
      <c r="C35" s="5"/>
      <c r="D35" s="5"/>
      <c r="E35" s="5"/>
      <c r="F35" s="5"/>
    </row>
    <row r="36" spans="1:6" x14ac:dyDescent="0.25">
      <c r="A36" s="4" t="s">
        <v>13</v>
      </c>
      <c r="D36" s="5"/>
      <c r="E36" s="5"/>
    </row>
    <row r="37" spans="1:6" x14ac:dyDescent="0.25">
      <c r="B37" s="5">
        <v>1</v>
      </c>
      <c r="D37" s="1" t="b">
        <v>1</v>
      </c>
      <c r="E37" s="3" t="b">
        <f>test_read_vertical_list(B37:B38)</f>
        <v>1</v>
      </c>
    </row>
    <row r="38" spans="1:6" x14ac:dyDescent="0.25">
      <c r="B38" s="5">
        <v>2</v>
      </c>
      <c r="D38" s="5"/>
      <c r="E38" s="5"/>
    </row>
    <row r="39" spans="1:6" x14ac:dyDescent="0.25">
      <c r="A39" s="7" t="s">
        <v>20</v>
      </c>
      <c r="D39" s="1">
        <v>1</v>
      </c>
      <c r="E39" s="3">
        <f t="array" ref="E39:E40">test_write_vertical_list()</f>
        <v>1</v>
      </c>
    </row>
    <row r="40" spans="1:6" x14ac:dyDescent="0.25">
      <c r="A40" s="5"/>
      <c r="D40" s="1">
        <v>2</v>
      </c>
      <c r="E40" s="3">
        <v>2</v>
      </c>
    </row>
    <row r="41" spans="1:6" x14ac:dyDescent="0.25">
      <c r="A41" s="5"/>
      <c r="D41" s="5"/>
      <c r="E41" s="5"/>
    </row>
    <row r="42" spans="1:6" x14ac:dyDescent="0.25">
      <c r="A42" s="4" t="s">
        <v>8</v>
      </c>
      <c r="D42" s="5"/>
      <c r="E42" s="5"/>
    </row>
    <row r="43" spans="1:6" x14ac:dyDescent="0.25">
      <c r="A43">
        <v>2</v>
      </c>
      <c r="D43" s="1" t="b">
        <v>1</v>
      </c>
      <c r="E43" s="3" t="b">
        <f>test_read_ndim1(A43)</f>
        <v>1</v>
      </c>
    </row>
    <row r="44" spans="1:6" x14ac:dyDescent="0.25">
      <c r="A44" s="5"/>
      <c r="B44" s="5"/>
    </row>
    <row r="45" spans="1:6" x14ac:dyDescent="0.25">
      <c r="A45" s="4" t="s">
        <v>9</v>
      </c>
      <c r="D45" s="5"/>
      <c r="E45" s="5"/>
    </row>
    <row r="46" spans="1:6" x14ac:dyDescent="0.25">
      <c r="A46">
        <v>2</v>
      </c>
      <c r="D46" s="1" t="b">
        <v>1</v>
      </c>
      <c r="E46" s="3" t="b">
        <f>test_read_ndim2(A46)</f>
        <v>1</v>
      </c>
    </row>
    <row r="47" spans="1:6" x14ac:dyDescent="0.25">
      <c r="D47" s="5"/>
      <c r="E47" s="5"/>
    </row>
    <row r="50" spans="1:7" x14ac:dyDescent="0.25">
      <c r="A50" s="4" t="s">
        <v>5</v>
      </c>
      <c r="B50" s="5"/>
    </row>
    <row r="51" spans="1:7" x14ac:dyDescent="0.25">
      <c r="A51">
        <v>1</v>
      </c>
      <c r="B51">
        <v>2</v>
      </c>
      <c r="D51" s="1">
        <f>A51*2</f>
        <v>2</v>
      </c>
      <c r="E51" s="1">
        <v>3</v>
      </c>
      <c r="F51" s="3">
        <f t="array" ref="F51:G52">test_2dlist(A51:B52)</f>
        <v>2</v>
      </c>
      <c r="G51" s="3">
        <v>3</v>
      </c>
    </row>
    <row r="52" spans="1:7" x14ac:dyDescent="0.25">
      <c r="A52">
        <v>3</v>
      </c>
      <c r="B52">
        <v>4</v>
      </c>
      <c r="D52" s="1">
        <v>4</v>
      </c>
      <c r="E52" s="1">
        <v>5</v>
      </c>
      <c r="F52" s="3">
        <v>4</v>
      </c>
      <c r="G52" s="3">
        <v>5</v>
      </c>
    </row>
    <row r="54" spans="1:7" x14ac:dyDescent="0.25">
      <c r="A54" s="4" t="s">
        <v>2</v>
      </c>
    </row>
    <row r="55" spans="1:7" x14ac:dyDescent="0.25">
      <c r="A55">
        <v>1</v>
      </c>
      <c r="B55">
        <v>2</v>
      </c>
      <c r="D55" s="1">
        <v>1</v>
      </c>
      <c r="E55" s="1">
        <v>2</v>
      </c>
      <c r="F55" s="3">
        <f t="array" ref="F55:G56">test_transpose(A55:B56)</f>
        <v>1</v>
      </c>
      <c r="G55" s="3">
        <v>3</v>
      </c>
    </row>
    <row r="56" spans="1:7" x14ac:dyDescent="0.25">
      <c r="A56">
        <v>3</v>
      </c>
      <c r="B56">
        <v>4</v>
      </c>
      <c r="D56" s="1">
        <v>3</v>
      </c>
      <c r="E56" s="1">
        <v>4</v>
      </c>
      <c r="F56" s="3">
        <v>2</v>
      </c>
      <c r="G56" s="3">
        <v>4</v>
      </c>
    </row>
    <row r="58" spans="1:7" x14ac:dyDescent="0.25">
      <c r="A58" s="4" t="s">
        <v>3</v>
      </c>
    </row>
    <row r="59" spans="1:7" x14ac:dyDescent="0.25">
      <c r="A59">
        <v>1</v>
      </c>
      <c r="B59">
        <v>2</v>
      </c>
      <c r="D59" s="1">
        <f>A59*2</f>
        <v>2</v>
      </c>
      <c r="E59" s="1">
        <f>B59*2</f>
        <v>4</v>
      </c>
      <c r="F59" s="3">
        <f t="array" ref="F59:G60">test_nparray1(A59:B60)</f>
        <v>2</v>
      </c>
      <c r="G59" s="3">
        <v>4</v>
      </c>
    </row>
    <row r="60" spans="1:7" x14ac:dyDescent="0.25">
      <c r="A60">
        <v>3</v>
      </c>
      <c r="B60">
        <v>4</v>
      </c>
      <c r="D60" s="1">
        <f>A60*2</f>
        <v>6</v>
      </c>
      <c r="E60" s="1">
        <f>B60*2</f>
        <v>8</v>
      </c>
      <c r="F60" s="3">
        <v>6</v>
      </c>
      <c r="G60" s="3">
        <v>8</v>
      </c>
    </row>
    <row r="62" spans="1:7" x14ac:dyDescent="0.25">
      <c r="A62" s="4" t="s">
        <v>4</v>
      </c>
    </row>
    <row r="63" spans="1:7" x14ac:dyDescent="0.25">
      <c r="A63">
        <v>1</v>
      </c>
      <c r="B63">
        <v>2</v>
      </c>
      <c r="D63" s="1">
        <v>1</v>
      </c>
      <c r="E63" s="1">
        <v>2</v>
      </c>
      <c r="F63" s="3">
        <f t="array" ref="F63:G64">test_nparray_transpose1(A63:B64)</f>
        <v>1</v>
      </c>
      <c r="G63" s="3">
        <v>3</v>
      </c>
    </row>
    <row r="64" spans="1:7" x14ac:dyDescent="0.25">
      <c r="A64">
        <v>3</v>
      </c>
      <c r="B64">
        <v>4</v>
      </c>
      <c r="D64" s="1">
        <v>3</v>
      </c>
      <c r="E64" s="1">
        <v>4</v>
      </c>
      <c r="F64" s="3">
        <v>2</v>
      </c>
      <c r="G64" s="3">
        <v>4</v>
      </c>
    </row>
    <row r="66" spans="1:5" x14ac:dyDescent="0.25">
      <c r="A66" s="4" t="s">
        <v>6</v>
      </c>
    </row>
    <row r="67" spans="1:5" x14ac:dyDescent="0.25">
      <c r="A67">
        <v>1</v>
      </c>
      <c r="B67">
        <v>2</v>
      </c>
      <c r="D67" s="1" t="b">
        <v>1</v>
      </c>
      <c r="E67" s="3" t="b">
        <f>test_df_read_noindex_noheader(A67:B68)</f>
        <v>1</v>
      </c>
    </row>
    <row r="68" spans="1:5" x14ac:dyDescent="0.25">
      <c r="A68">
        <v>3</v>
      </c>
      <c r="B68">
        <v>4</v>
      </c>
    </row>
  </sheetData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2016-02-16T23:09:44Z</dcterms:modified>
</cp:coreProperties>
</file>