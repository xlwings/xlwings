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8955" windowHeight="12585" tabRatio="500"/>
  </bookViews>
  <sheets>
    <sheet name="Sheet1" sheetId="1" r:id="rId1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4" i="1" l="1"/>
  <c r="E61" i="1"/>
  <c r="E58" i="1"/>
  <c r="E55" i="1" a="1"/>
  <c r="E55" i="1"/>
  <c r="F55" i="1"/>
  <c r="E56" i="1"/>
  <c r="F56" i="1"/>
  <c r="E52" i="1"/>
  <c r="E42" i="1" a="1"/>
  <c r="E42" i="1"/>
  <c r="F42" i="1"/>
  <c r="E43" i="1"/>
  <c r="F43" i="1"/>
  <c r="E39" i="1"/>
  <c r="E25" i="1"/>
  <c r="E36" i="1" a="1"/>
  <c r="E36" i="1"/>
  <c r="E37" i="1"/>
  <c r="E31" i="1" a="1"/>
  <c r="E31" i="1"/>
  <c r="F31" i="1"/>
  <c r="E16" i="1"/>
  <c r="E9" i="1"/>
  <c r="E22" i="1"/>
  <c r="E19" i="1"/>
  <c r="E34" i="1"/>
  <c r="E28" i="1"/>
  <c r="E13" i="1"/>
  <c r="E12" i="1"/>
  <c r="E49" i="1"/>
  <c r="E46" i="1"/>
  <c r="E6" i="1"/>
  <c r="E5" i="1"/>
</calcChain>
</file>

<file path=xl/sharedStrings.xml><?xml version="1.0" encoding="utf-8"?>
<sst xmlns="http://schemas.openxmlformats.org/spreadsheetml/2006/main" count="24" uniqueCount="23">
  <si>
    <t>epected</t>
  </si>
  <si>
    <t>actual</t>
  </si>
  <si>
    <t>test_read_float</t>
  </si>
  <si>
    <t>test_read_ndim1</t>
  </si>
  <si>
    <t>test_read_ndim2</t>
  </si>
  <si>
    <t>test_read_string</t>
  </si>
  <si>
    <t>xlwings</t>
  </si>
  <si>
    <t>test_read_horizontal_list</t>
  </si>
  <si>
    <t>test_read_vertical_list</t>
  </si>
  <si>
    <t>test_read_empty</t>
  </si>
  <si>
    <t>test_read_date</t>
  </si>
  <si>
    <t>test_write_float</t>
  </si>
  <si>
    <t>test_write_string</t>
  </si>
  <si>
    <t>test_write_horizontal_list</t>
  </si>
  <si>
    <t>test_write_vertical_list</t>
  </si>
  <si>
    <t>test_write_date</t>
  </si>
  <si>
    <t>test_read_2dlist</t>
  </si>
  <si>
    <t>test_write_2dlist</t>
  </si>
  <si>
    <t>test_read_transpose</t>
  </si>
  <si>
    <t>test_write_transpose</t>
  </si>
  <si>
    <t>test_read_as_date</t>
  </si>
  <si>
    <t>test_read_as_datetime</t>
  </si>
  <si>
    <t>test_read_empty_as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</si>
</sst>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65"/>
  <sheetViews>
    <sheetView tabSelected="1" topLeftCell="A40" zoomScale="80" zoomScaleNormal="80" workbookViewId="0">
      <selection activeCell="C59" sqref="C59"/>
    </sheetView>
  </sheetViews>
  <sheetFormatPr defaultColWidth="11" defaultRowHeight="15.75" x14ac:dyDescent="0.25"/>
  <cols>
    <col min="1" max="1" width="22.25" customWidth="1"/>
    <col min="3" max="3" width="12.375" bestFit="1" customWidth="1"/>
    <col min="4" max="4" width="11.125" customWidth="1"/>
    <col min="5" max="5" width="11.75" customWidth="1"/>
  </cols>
  <sheetData>
    <row r="1" spans="1:6" x14ac:dyDescent="0.25">
      <c r="A1" s="1" t="s">
        <v>0</v>
      </c>
      <c r="B1" s="2" t="s">
        <v>1</v>
      </c>
    </row>
    <row r="4" spans="1:6" x14ac:dyDescent="0.25">
      <c r="A4" s="4" t="s">
        <v>2</v>
      </c>
    </row>
    <row r="5" spans="1:6" x14ac:dyDescent="0.25">
      <c r="D5" s="1" t="b">
        <v>1</v>
      </c>
      <c r="E5" s="3" t="b">
        <f>test_read_float(2)</f>
        <v>1</v>
      </c>
      <c r="F5" s="5"/>
    </row>
    <row r="6" spans="1:6" x14ac:dyDescent="0.25">
      <c r="B6" s="5">
        <v>2</v>
      </c>
      <c r="D6" s="1" t="b">
        <v>1</v>
      </c>
      <c r="E6" s="3" t="b">
        <f>test_read_float(B6)</f>
        <v>1</v>
      </c>
    </row>
    <row r="7" spans="1:6" x14ac:dyDescent="0.25">
      <c r="A7" s="5"/>
      <c r="D7" s="5"/>
      <c r="E7" s="5"/>
    </row>
    <row r="8" spans="1:6" x14ac:dyDescent="0.25">
      <c r="A8" s="4" t="s">
        <v>11</v>
      </c>
      <c r="D8" s="5"/>
      <c r="E8" s="5"/>
    </row>
    <row r="9" spans="1:6" x14ac:dyDescent="0.25">
      <c r="A9" s="5"/>
      <c r="D9" s="1">
        <v>2</v>
      </c>
      <c r="E9" s="3">
        <f>test_write_float()</f>
        <v>2</v>
      </c>
    </row>
    <row r="10" spans="1:6" x14ac:dyDescent="0.25">
      <c r="A10" s="5"/>
      <c r="D10" s="5"/>
      <c r="E10" s="5"/>
    </row>
    <row r="11" spans="1:6" x14ac:dyDescent="0.25">
      <c r="A11" s="4" t="s">
        <v>5</v>
      </c>
      <c r="D11" s="5"/>
      <c r="E11" s="5"/>
    </row>
    <row r="12" spans="1:6" x14ac:dyDescent="0.25">
      <c r="D12" s="1" t="b">
        <v>1</v>
      </c>
      <c r="E12" s="3" t="b">
        <f>test_read_string("xlwings")</f>
        <v>1</v>
      </c>
    </row>
    <row r="13" spans="1:6" x14ac:dyDescent="0.25">
      <c r="B13" s="5" t="s">
        <v>6</v>
      </c>
      <c r="D13" s="1" t="b">
        <v>1</v>
      </c>
      <c r="E13" s="3" t="b">
        <f>test_read_string(B13)</f>
        <v>1</v>
      </c>
    </row>
    <row r="14" spans="1:6" x14ac:dyDescent="0.25">
      <c r="A14" s="5"/>
      <c r="D14" s="5"/>
      <c r="E14" s="5"/>
    </row>
    <row r="15" spans="1:6" x14ac:dyDescent="0.25">
      <c r="A15" s="4" t="s">
        <v>12</v>
      </c>
      <c r="D15" s="5"/>
      <c r="E15" s="5"/>
    </row>
    <row r="16" spans="1:6" x14ac:dyDescent="0.25">
      <c r="D16" s="1" t="s">
        <v>6</v>
      </c>
      <c r="E16" s="3" t="str">
        <f>test_write_string()</f>
        <v>xlwings</v>
      </c>
    </row>
    <row r="17" spans="1:6" s="5" customFormat="1" x14ac:dyDescent="0.25"/>
    <row r="18" spans="1:6" x14ac:dyDescent="0.25">
      <c r="A18" s="4" t="s">
        <v>9</v>
      </c>
      <c r="D18" s="5"/>
      <c r="E18" s="5"/>
    </row>
    <row r="19" spans="1:6" x14ac:dyDescent="0.25">
      <c r="A19" s="5"/>
      <c r="D19" s="1" t="b">
        <v>1</v>
      </c>
      <c r="E19" s="3" t="b">
        <f>test_read_empty(A19)</f>
        <v>1</v>
      </c>
    </row>
    <row r="20" spans="1:6" x14ac:dyDescent="0.25">
      <c r="A20" s="5"/>
      <c r="D20" s="5"/>
      <c r="E20" s="5"/>
    </row>
    <row r="21" spans="1:6" x14ac:dyDescent="0.25">
      <c r="A21" s="4" t="s">
        <v>10</v>
      </c>
      <c r="D21" s="5"/>
      <c r="E21" s="5"/>
    </row>
    <row r="22" spans="1:6" x14ac:dyDescent="0.25">
      <c r="B22" s="6">
        <v>42019</v>
      </c>
      <c r="D22" s="1" t="b">
        <v>1</v>
      </c>
      <c r="E22" s="3" t="b">
        <f>test_read_date(B22)</f>
        <v>1</v>
      </c>
    </row>
    <row r="23" spans="1:6" x14ac:dyDescent="0.25">
      <c r="B23" s="6"/>
      <c r="D23" s="5"/>
      <c r="E23" s="5"/>
    </row>
    <row r="24" spans="1:6" x14ac:dyDescent="0.25">
      <c r="A24" s="4" t="s">
        <v>15</v>
      </c>
      <c r="B24" s="6"/>
    </row>
    <row r="25" spans="1:6" x14ac:dyDescent="0.25">
      <c r="B25" s="6"/>
      <c r="D25" s="8">
        <v>25568</v>
      </c>
      <c r="E25" s="9">
        <f>test_write_date()</f>
        <v>25568</v>
      </c>
    </row>
    <row r="26" spans="1:6" s="5" customFormat="1" x14ac:dyDescent="0.25"/>
    <row r="27" spans="1:6" x14ac:dyDescent="0.25">
      <c r="A27" s="4" t="s">
        <v>7</v>
      </c>
      <c r="D27" s="5"/>
      <c r="E27" s="5"/>
    </row>
    <row r="28" spans="1:6" x14ac:dyDescent="0.25">
      <c r="B28" s="5">
        <v>1</v>
      </c>
      <c r="C28">
        <v>2</v>
      </c>
      <c r="D28" s="1" t="b">
        <v>1</v>
      </c>
      <c r="E28" s="3" t="b">
        <f>test_read_horizontal_list(B28:C28)</f>
        <v>1</v>
      </c>
    </row>
    <row r="29" spans="1:6" x14ac:dyDescent="0.25">
      <c r="B29" s="5"/>
      <c r="D29" s="5"/>
      <c r="E29" s="5"/>
    </row>
    <row r="30" spans="1:6" x14ac:dyDescent="0.25">
      <c r="A30" s="4" t="s">
        <v>13</v>
      </c>
      <c r="D30" s="5"/>
      <c r="E30" s="5"/>
    </row>
    <row r="31" spans="1:6" x14ac:dyDescent="0.25">
      <c r="B31" s="5"/>
      <c r="C31" s="1">
        <v>1</v>
      </c>
      <c r="D31" s="1">
        <v>2</v>
      </c>
      <c r="E31" s="3">
        <f t="array" ref="E31:F31">test_write_horizontal_list()</f>
        <v>1</v>
      </c>
      <c r="F31" s="3">
        <v>2</v>
      </c>
    </row>
    <row r="32" spans="1:6" x14ac:dyDescent="0.25">
      <c r="B32" s="5"/>
      <c r="C32" s="5"/>
      <c r="D32" s="5"/>
      <c r="E32" s="5"/>
      <c r="F32" s="5"/>
    </row>
    <row r="33" spans="1:6" x14ac:dyDescent="0.25">
      <c r="A33" s="4" t="s">
        <v>8</v>
      </c>
      <c r="D33" s="5"/>
      <c r="E33" s="5"/>
    </row>
    <row r="34" spans="1:6" x14ac:dyDescent="0.25">
      <c r="B34" s="5">
        <v>1</v>
      </c>
      <c r="D34" s="1" t="b">
        <v>1</v>
      </c>
      <c r="E34" s="3" t="b">
        <f>test_read_vertical_list(B34:B35)</f>
        <v>1</v>
      </c>
    </row>
    <row r="35" spans="1:6" x14ac:dyDescent="0.25">
      <c r="B35" s="5">
        <v>2</v>
      </c>
      <c r="D35" s="5"/>
      <c r="E35" s="5"/>
    </row>
    <row r="36" spans="1:6" x14ac:dyDescent="0.25">
      <c r="A36" s="7" t="s">
        <v>14</v>
      </c>
      <c r="D36" s="1">
        <v>1</v>
      </c>
      <c r="E36" s="3">
        <f t="array" ref="E36:E37">test_write_vertical_list()</f>
        <v>1</v>
      </c>
    </row>
    <row r="37" spans="1:6" x14ac:dyDescent="0.25">
      <c r="A37" s="5"/>
      <c r="D37" s="1">
        <v>2</v>
      </c>
      <c r="E37" s="3">
        <v>2</v>
      </c>
    </row>
    <row r="38" spans="1:6" s="5" customFormat="1" x14ac:dyDescent="0.25"/>
    <row r="39" spans="1:6" s="5" customFormat="1" x14ac:dyDescent="0.25">
      <c r="A39" s="7" t="s">
        <v>16</v>
      </c>
      <c r="B39" s="5">
        <v>1</v>
      </c>
      <c r="C39" s="5">
        <v>2</v>
      </c>
      <c r="D39" s="1" t="b">
        <v>1</v>
      </c>
      <c r="E39" s="3" t="b">
        <f>test_read_2dlist(B39:C40)</f>
        <v>1</v>
      </c>
    </row>
    <row r="40" spans="1:6" s="5" customFormat="1" x14ac:dyDescent="0.25">
      <c r="B40" s="5">
        <v>3</v>
      </c>
      <c r="C40" s="5">
        <v>4</v>
      </c>
    </row>
    <row r="41" spans="1:6" s="5" customFormat="1" x14ac:dyDescent="0.25"/>
    <row r="42" spans="1:6" s="5" customFormat="1" x14ac:dyDescent="0.25">
      <c r="A42" s="7" t="s">
        <v>17</v>
      </c>
      <c r="C42" s="1">
        <v>1</v>
      </c>
      <c r="D42" s="1">
        <v>2</v>
      </c>
      <c r="E42" s="3">
        <f t="array" ref="E42:F43">test_write_2dlist()</f>
        <v>1</v>
      </c>
      <c r="F42" s="3">
        <v>2</v>
      </c>
    </row>
    <row r="43" spans="1:6" s="5" customFormat="1" x14ac:dyDescent="0.25">
      <c r="C43" s="1">
        <v>3</v>
      </c>
      <c r="D43" s="1">
        <v>4</v>
      </c>
      <c r="E43" s="3">
        <v>3</v>
      </c>
      <c r="F43" s="3">
        <v>4</v>
      </c>
    </row>
    <row r="44" spans="1:6" s="5" customFormat="1" x14ac:dyDescent="0.25"/>
    <row r="45" spans="1:6" x14ac:dyDescent="0.25">
      <c r="A45" s="4" t="s">
        <v>3</v>
      </c>
      <c r="D45" s="5"/>
      <c r="E45" s="5"/>
    </row>
    <row r="46" spans="1:6" x14ac:dyDescent="0.25">
      <c r="B46">
        <v>2</v>
      </c>
      <c r="D46" s="1" t="b">
        <v>1</v>
      </c>
      <c r="E46" s="3" t="b">
        <f>test_read_ndim1(B46)</f>
        <v>1</v>
      </c>
    </row>
    <row r="47" spans="1:6" x14ac:dyDescent="0.25">
      <c r="A47" s="5"/>
      <c r="B47" s="5"/>
    </row>
    <row r="48" spans="1:6" x14ac:dyDescent="0.25">
      <c r="A48" s="4" t="s">
        <v>4</v>
      </c>
      <c r="D48" s="5"/>
      <c r="E48" s="5"/>
    </row>
    <row r="49" spans="1:6" x14ac:dyDescent="0.25">
      <c r="B49">
        <v>2</v>
      </c>
      <c r="D49" s="1" t="b">
        <v>1</v>
      </c>
      <c r="E49" s="3" t="b">
        <f>test_read_ndim2(B49)</f>
        <v>1</v>
      </c>
    </row>
    <row r="51" spans="1:6" x14ac:dyDescent="0.25">
      <c r="A51" s="4" t="s">
        <v>18</v>
      </c>
    </row>
    <row r="52" spans="1:6" x14ac:dyDescent="0.25">
      <c r="B52">
        <v>1</v>
      </c>
      <c r="C52">
        <v>2</v>
      </c>
      <c r="D52" s="1" t="b">
        <v>1</v>
      </c>
      <c r="E52" s="3" t="b">
        <f>test_read_transpose(B52:C53)</f>
        <v>1</v>
      </c>
    </row>
    <row r="53" spans="1:6" x14ac:dyDescent="0.25">
      <c r="B53">
        <v>3</v>
      </c>
      <c r="C53">
        <v>4</v>
      </c>
    </row>
    <row r="54" spans="1:6" x14ac:dyDescent="0.25">
      <c r="D54" s="5"/>
      <c r="E54" s="5"/>
    </row>
    <row r="55" spans="1:6" x14ac:dyDescent="0.25">
      <c r="A55" s="4" t="s">
        <v>19</v>
      </c>
      <c r="C55" s="1">
        <v>1</v>
      </c>
      <c r="D55" s="1">
        <v>3</v>
      </c>
      <c r="E55" s="3">
        <f t="array" ref="E55:F56">test_write_transpose()</f>
        <v>1</v>
      </c>
      <c r="F55" s="3">
        <v>3</v>
      </c>
    </row>
    <row r="56" spans="1:6" x14ac:dyDescent="0.25">
      <c r="C56" s="1">
        <v>2</v>
      </c>
      <c r="D56" s="1">
        <v>4</v>
      </c>
      <c r="E56" s="3">
        <v>2</v>
      </c>
      <c r="F56" s="3">
        <v>4</v>
      </c>
    </row>
    <row r="57" spans="1:6" x14ac:dyDescent="0.25">
      <c r="D57" s="5"/>
      <c r="E57" s="5"/>
    </row>
    <row r="58" spans="1:6" x14ac:dyDescent="0.25">
      <c r="A58" s="4" t="s">
        <v>20</v>
      </c>
      <c r="B58">
        <v>1</v>
      </c>
      <c r="C58" s="10">
        <v>42017</v>
      </c>
      <c r="D58" s="1" t="b">
        <v>1</v>
      </c>
      <c r="E58" s="3" t="b">
        <f>test_read_as_date(B58:C59)</f>
        <v>1</v>
      </c>
    </row>
    <row r="59" spans="1:6" x14ac:dyDescent="0.25">
      <c r="B59" s="10">
        <v>36861</v>
      </c>
      <c r="C59" s="11">
        <v>4</v>
      </c>
    </row>
    <row r="61" spans="1:6" x14ac:dyDescent="0.25">
      <c r="A61" s="4" t="s">
        <v>21</v>
      </c>
      <c r="B61">
        <v>1</v>
      </c>
      <c r="C61" s="10">
        <v>42017</v>
      </c>
      <c r="D61" s="1" t="b">
        <v>1</v>
      </c>
      <c r="E61" s="3" t="b">
        <f>test_read_as_datetime(B61:C62)</f>
        <v>1</v>
      </c>
    </row>
    <row r="62" spans="1:6" x14ac:dyDescent="0.25">
      <c r="B62" s="10">
        <v>36861</v>
      </c>
      <c r="C62" s="11">
        <v>4</v>
      </c>
    </row>
    <row r="64" spans="1:6" x14ac:dyDescent="0.25">
      <c r="A64" s="4" t="s">
        <v>22</v>
      </c>
      <c r="B64">
        <v>1</v>
      </c>
      <c r="C64" s="10"/>
      <c r="D64" s="1" t="b">
        <v>1</v>
      </c>
      <c r="E64" s="3" t="b">
        <f>test_read_empty_as(B64:C65)</f>
        <v>1</v>
      </c>
    </row>
    <row r="65" spans="2:3" x14ac:dyDescent="0.25">
      <c r="B65" s="10"/>
      <c r="C65" s="11">
        <v>4</v>
      </c>
    </row>
  </sheetData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2016-02-17T11:25:42Z</dcterms:modified>
</cp:coreProperties>
</file>