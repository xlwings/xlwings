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G169" i="1" l="1" a="1"/>
  <c r="G169" i="1"/>
  <c r="L169" i="1"/>
  <c r="H169" i="1"/>
  <c r="M169" i="1"/>
  <c r="I169" i="1"/>
  <c r="N169" i="1"/>
  <c r="J169" i="1"/>
  <c r="O169" i="1"/>
  <c r="K169" i="1"/>
  <c r="P169" i="1"/>
  <c r="G170" i="1"/>
  <c r="L170" i="1"/>
  <c r="H170" i="1"/>
  <c r="M170" i="1"/>
  <c r="I170" i="1"/>
  <c r="N170" i="1"/>
  <c r="J170" i="1"/>
  <c r="O170" i="1"/>
  <c r="K170" i="1"/>
  <c r="P170" i="1"/>
  <c r="G171" i="1"/>
  <c r="L171" i="1"/>
  <c r="H171" i="1"/>
  <c r="M171" i="1"/>
  <c r="I171" i="1"/>
  <c r="N171" i="1"/>
  <c r="J171" i="1"/>
  <c r="O171" i="1"/>
  <c r="K171" i="1"/>
  <c r="P171" i="1"/>
  <c r="A168" i="1"/>
  <c r="G162" i="1"/>
  <c r="H162" i="1"/>
  <c r="A162" i="1"/>
  <c r="G197" i="1" a="1"/>
  <c r="G197" i="1"/>
  <c r="J197" i="1"/>
  <c r="H197" i="1"/>
  <c r="K197" i="1"/>
  <c r="I197" i="1"/>
  <c r="L197" i="1"/>
  <c r="G198" i="1"/>
  <c r="J198" i="1"/>
  <c r="H198" i="1"/>
  <c r="K198" i="1"/>
  <c r="I198" i="1"/>
  <c r="L198" i="1"/>
  <c r="G199" i="1"/>
  <c r="J199" i="1"/>
  <c r="H199" i="1"/>
  <c r="K199" i="1"/>
  <c r="I199" i="1"/>
  <c r="L199" i="1"/>
  <c r="G200" i="1"/>
  <c r="J200" i="1"/>
  <c r="H200" i="1"/>
  <c r="K200" i="1"/>
  <c r="I200" i="1"/>
  <c r="L200" i="1"/>
  <c r="A197" i="1"/>
  <c r="G191" i="1" a="1"/>
  <c r="G191" i="1"/>
  <c r="H191" i="1"/>
  <c r="A191" i="1"/>
  <c r="G70" i="1" a="1"/>
  <c r="H71" i="1"/>
  <c r="J71" i="1"/>
  <c r="G71" i="1"/>
  <c r="I71" i="1"/>
  <c r="H70" i="1"/>
  <c r="J70" i="1"/>
  <c r="G70" i="1"/>
  <c r="I70" i="1"/>
  <c r="G156" i="1"/>
  <c r="G159" i="1" a="1"/>
  <c r="G159" i="1"/>
  <c r="H159" i="1"/>
  <c r="I159" i="1"/>
  <c r="G160" i="1"/>
  <c r="H160" i="1"/>
  <c r="I160" i="1"/>
  <c r="J159" i="1"/>
  <c r="K159" i="1"/>
  <c r="L159" i="1"/>
  <c r="J160" i="1"/>
  <c r="K160" i="1"/>
  <c r="L160" i="1"/>
  <c r="A159" i="1"/>
  <c r="H156" i="1"/>
  <c r="A156" i="1"/>
  <c r="G152" i="1" a="1"/>
  <c r="G152" i="1"/>
  <c r="I152" i="1"/>
  <c r="H152" i="1"/>
  <c r="J152" i="1"/>
  <c r="G153" i="1"/>
  <c r="I153" i="1"/>
  <c r="H153" i="1"/>
  <c r="J153" i="1"/>
  <c r="G154" i="1"/>
  <c r="I154" i="1"/>
  <c r="H154" i="1"/>
  <c r="J154" i="1"/>
  <c r="A152" i="1"/>
  <c r="G148" i="1"/>
  <c r="H148" i="1"/>
  <c r="A148" i="1"/>
  <c r="G24" i="1"/>
  <c r="H24" i="1"/>
  <c r="A24" i="1"/>
  <c r="G6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G96" i="1"/>
  <c r="H96" i="1"/>
  <c r="A96" i="1"/>
  <c r="G98" i="1"/>
  <c r="H98" i="1"/>
  <c r="A98" i="1"/>
  <c r="G101" i="1"/>
  <c r="H101" i="1"/>
  <c r="A101" i="1"/>
  <c r="G104" i="1"/>
  <c r="H104" i="1"/>
  <c r="A104" i="1"/>
  <c r="G108" i="1"/>
  <c r="H108" i="1"/>
  <c r="A108" i="1"/>
  <c r="G112" i="1"/>
  <c r="H112" i="1"/>
  <c r="A112" i="1"/>
  <c r="G116" i="1" a="1"/>
  <c r="G116" i="1"/>
  <c r="H116" i="1"/>
  <c r="G117" i="1"/>
  <c r="H117" i="1"/>
  <c r="A116" i="1"/>
  <c r="G119" i="1" a="1"/>
  <c r="G119" i="1"/>
  <c r="I119" i="1"/>
  <c r="H119" i="1"/>
  <c r="J119" i="1"/>
  <c r="G120" i="1"/>
  <c r="I120" i="1"/>
  <c r="H120" i="1"/>
  <c r="J120" i="1"/>
  <c r="A119" i="1"/>
  <c r="G122" i="1" a="1"/>
  <c r="G122" i="1"/>
  <c r="H122" i="1"/>
  <c r="G123" i="1"/>
  <c r="H123" i="1"/>
  <c r="G124" i="1"/>
  <c r="H124" i="1"/>
  <c r="A122" i="1"/>
  <c r="G126" i="1" a="1"/>
  <c r="G126" i="1"/>
  <c r="I126" i="1"/>
  <c r="H126" i="1"/>
  <c r="J126" i="1"/>
  <c r="G127" i="1"/>
  <c r="I127" i="1"/>
  <c r="H127" i="1"/>
  <c r="J127" i="1"/>
  <c r="G128" i="1"/>
  <c r="I128" i="1"/>
  <c r="H128" i="1"/>
  <c r="J128" i="1"/>
  <c r="A126" i="1"/>
  <c r="G130" i="1" a="1"/>
  <c r="G130" i="1"/>
  <c r="I130" i="1"/>
  <c r="H130" i="1"/>
  <c r="J130" i="1"/>
  <c r="G131" i="1"/>
  <c r="I131" i="1"/>
  <c r="H131" i="1"/>
  <c r="J131" i="1"/>
  <c r="G132" i="1"/>
  <c r="I132" i="1"/>
  <c r="H132" i="1"/>
  <c r="J132" i="1"/>
  <c r="A130" i="1"/>
  <c r="G134" i="1"/>
  <c r="H134" i="1"/>
  <c r="A134" i="1"/>
  <c r="G138" i="1" a="1"/>
  <c r="G138" i="1"/>
  <c r="I138" i="1"/>
  <c r="H138" i="1"/>
  <c r="J138" i="1"/>
  <c r="G139" i="1"/>
  <c r="I139" i="1"/>
  <c r="H139" i="1"/>
  <c r="J139" i="1"/>
  <c r="G140" i="1"/>
  <c r="I140" i="1"/>
  <c r="H140" i="1"/>
  <c r="J140" i="1"/>
  <c r="A138" i="1"/>
  <c r="G142" i="1"/>
  <c r="H142" i="1"/>
  <c r="A142" i="1"/>
  <c r="G145" i="1" a="1"/>
  <c r="G145" i="1"/>
  <c r="I145" i="1"/>
  <c r="H145" i="1"/>
  <c r="J145" i="1"/>
  <c r="G146" i="1"/>
  <c r="I146" i="1"/>
  <c r="H146" i="1"/>
  <c r="J146" i="1"/>
  <c r="A145" i="1"/>
  <c r="G173" i="1"/>
  <c r="H173" i="1"/>
  <c r="A173" i="1"/>
  <c r="G178" i="1" a="1"/>
  <c r="G178" i="1"/>
  <c r="K178" i="1"/>
  <c r="H178" i="1"/>
  <c r="L178" i="1"/>
  <c r="I178" i="1"/>
  <c r="M178" i="1"/>
  <c r="J178" i="1"/>
  <c r="N178" i="1"/>
  <c r="G179" i="1"/>
  <c r="K179" i="1"/>
  <c r="H179" i="1"/>
  <c r="L179" i="1"/>
  <c r="I179" i="1"/>
  <c r="M179" i="1"/>
  <c r="J179" i="1"/>
  <c r="N179" i="1"/>
  <c r="G180" i="1"/>
  <c r="K180" i="1"/>
  <c r="H180" i="1"/>
  <c r="L180" i="1"/>
  <c r="I180" i="1"/>
  <c r="M180" i="1"/>
  <c r="J180" i="1"/>
  <c r="N180" i="1"/>
  <c r="A178" i="1"/>
  <c r="G182" i="1"/>
  <c r="H182" i="1"/>
  <c r="A182" i="1"/>
  <c r="G187" i="1" a="1"/>
  <c r="G187" i="1"/>
  <c r="K187" i="1"/>
  <c r="H187" i="1"/>
  <c r="L187" i="1"/>
  <c r="I187" i="1"/>
  <c r="M187" i="1"/>
  <c r="J187" i="1"/>
  <c r="N187" i="1"/>
  <c r="G188" i="1"/>
  <c r="K188" i="1"/>
  <c r="H188" i="1"/>
  <c r="L188" i="1"/>
  <c r="I188" i="1"/>
  <c r="M188" i="1"/>
  <c r="J188" i="1"/>
  <c r="N188" i="1"/>
  <c r="G189" i="1"/>
  <c r="K189" i="1"/>
  <c r="H189" i="1"/>
  <c r="L189" i="1"/>
  <c r="I189" i="1"/>
  <c r="M189" i="1"/>
  <c r="J189" i="1"/>
  <c r="N189" i="1"/>
  <c r="A187" i="1"/>
  <c r="G202" i="1"/>
  <c r="H202" i="1"/>
  <c r="A202" i="1"/>
  <c r="G208" i="1" a="1"/>
  <c r="G208" i="1"/>
  <c r="K208" i="1"/>
  <c r="H208" i="1"/>
  <c r="L208" i="1"/>
  <c r="I208" i="1"/>
  <c r="M208" i="1"/>
  <c r="J208" i="1"/>
  <c r="N208" i="1"/>
  <c r="G209" i="1"/>
  <c r="K209" i="1"/>
  <c r="H209" i="1"/>
  <c r="L209" i="1"/>
  <c r="I209" i="1"/>
  <c r="M209" i="1"/>
  <c r="J209" i="1"/>
  <c r="N209" i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A208" i="1"/>
  <c r="G213" i="1"/>
  <c r="H213" i="1"/>
  <c r="A213" i="1"/>
  <c r="G219" i="1" a="1"/>
  <c r="G219" i="1"/>
  <c r="K219" i="1"/>
  <c r="H219" i="1"/>
  <c r="L219" i="1"/>
  <c r="I219" i="1"/>
  <c r="M219" i="1"/>
  <c r="J219" i="1"/>
  <c r="N219" i="1"/>
  <c r="G220" i="1"/>
  <c r="K220" i="1"/>
  <c r="H220" i="1"/>
  <c r="L220" i="1"/>
  <c r="I220" i="1"/>
  <c r="M220" i="1"/>
  <c r="J220" i="1"/>
  <c r="N220" i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A219" i="1"/>
  <c r="G224" i="1"/>
  <c r="H224" i="1"/>
  <c r="A224" i="1"/>
  <c r="G232" i="1" a="1"/>
  <c r="G232" i="1"/>
  <c r="L232" i="1"/>
  <c r="H232" i="1"/>
  <c r="M232" i="1"/>
  <c r="I232" i="1"/>
  <c r="N232" i="1"/>
  <c r="J232" i="1"/>
  <c r="O232" i="1"/>
  <c r="K232" i="1"/>
  <c r="P232" i="1"/>
  <c r="G233" i="1"/>
  <c r="L233" i="1"/>
  <c r="H233" i="1"/>
  <c r="M233" i="1"/>
  <c r="I233" i="1"/>
  <c r="N233" i="1"/>
  <c r="J233" i="1"/>
  <c r="O233" i="1"/>
  <c r="K233" i="1"/>
  <c r="P233" i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A231" i="1"/>
  <c r="G240" i="1"/>
  <c r="H240" i="1"/>
  <c r="A240" i="1"/>
  <c r="G248" i="1" a="1"/>
  <c r="G248" i="1"/>
  <c r="L248" i="1"/>
  <c r="H248" i="1"/>
  <c r="M248" i="1"/>
  <c r="I248" i="1"/>
  <c r="N248" i="1"/>
  <c r="J248" i="1"/>
  <c r="O248" i="1"/>
  <c r="K248" i="1"/>
  <c r="P248" i="1"/>
  <c r="G249" i="1"/>
  <c r="L249" i="1"/>
  <c r="H249" i="1"/>
  <c r="M249" i="1"/>
  <c r="I249" i="1"/>
  <c r="N249" i="1"/>
  <c r="J249" i="1"/>
  <c r="O249" i="1"/>
  <c r="K249" i="1"/>
  <c r="P249" i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A247" i="1"/>
  <c r="G254" i="1"/>
  <c r="H254" i="1"/>
  <c r="A254" i="1"/>
  <c r="G261" i="1" a="1"/>
  <c r="G261" i="1"/>
  <c r="L261" i="1"/>
  <c r="H261" i="1"/>
  <c r="M261" i="1"/>
  <c r="I261" i="1"/>
  <c r="N261" i="1"/>
  <c r="J261" i="1"/>
  <c r="O261" i="1"/>
  <c r="K261" i="1"/>
  <c r="P261" i="1"/>
  <c r="G262" i="1"/>
  <c r="L262" i="1"/>
  <c r="H262" i="1"/>
  <c r="M262" i="1"/>
  <c r="I262" i="1"/>
  <c r="N262" i="1"/>
  <c r="J262" i="1"/>
  <c r="O262" i="1"/>
  <c r="K262" i="1"/>
  <c r="P262" i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A260" i="1"/>
  <c r="G266" i="1"/>
  <c r="H266" i="1"/>
  <c r="A266" i="1"/>
  <c r="G271" i="1" a="1"/>
  <c r="G271" i="1"/>
  <c r="K271" i="1"/>
  <c r="H271" i="1"/>
  <c r="L271" i="1"/>
  <c r="I271" i="1"/>
  <c r="M271" i="1"/>
  <c r="J271" i="1"/>
  <c r="N271" i="1"/>
  <c r="G272" i="1"/>
  <c r="K272" i="1"/>
  <c r="H272" i="1"/>
  <c r="L272" i="1"/>
  <c r="I272" i="1"/>
  <c r="M272" i="1"/>
  <c r="J272" i="1"/>
  <c r="N272" i="1"/>
  <c r="G273" i="1"/>
  <c r="K273" i="1"/>
  <c r="H273" i="1"/>
  <c r="L273" i="1"/>
  <c r="I273" i="1"/>
  <c r="M273" i="1"/>
  <c r="J273" i="1"/>
  <c r="N273" i="1"/>
  <c r="A271" i="1"/>
  <c r="B3" i="1"/>
</calcChain>
</file>

<file path=xl/sharedStrings.xml><?xml version="1.0" encoding="utf-8"?>
<sst xmlns="http://schemas.openxmlformats.org/spreadsheetml/2006/main" count="225" uniqueCount="89">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</sst>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73"/>
  <sheetViews>
    <sheetView tabSelected="1" zoomScale="60" zoomScaleNormal="60" workbookViewId="0">
      <selection activeCell="B15" sqref="B15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read_empty_as_nparray(D97)</f>
        <v>1</v>
      </c>
      <c r="H96" t="b">
        <f>G96=F96</f>
        <v>1</v>
      </c>
    </row>
    <row r="97" spans="1:8" x14ac:dyDescent="0.25">
      <c r="D97" s="9"/>
    </row>
    <row r="98" spans="1:8" x14ac:dyDescent="0.25">
      <c r="A98" t="b">
        <f>H98</f>
        <v>1</v>
      </c>
      <c r="B98" s="3" t="s">
        <v>39</v>
      </c>
      <c r="C98" s="3"/>
      <c r="D98">
        <v>1</v>
      </c>
      <c r="F98" s="1" t="b">
        <v>1</v>
      </c>
      <c r="G98" s="2" t="b">
        <f>read_series_noheader_noindex(D98:D99)</f>
        <v>1</v>
      </c>
      <c r="H98" t="b">
        <f>G98=F98</f>
        <v>1</v>
      </c>
    </row>
    <row r="99" spans="1:8" x14ac:dyDescent="0.25">
      <c r="D99">
        <v>2</v>
      </c>
    </row>
    <row r="101" spans="1:8" x14ac:dyDescent="0.25">
      <c r="A101" t="b">
        <f>H101</f>
        <v>1</v>
      </c>
      <c r="B101" s="3" t="s">
        <v>39</v>
      </c>
      <c r="C101" s="3"/>
      <c r="D101">
        <v>10</v>
      </c>
      <c r="E101">
        <v>1</v>
      </c>
      <c r="F101" s="1" t="b">
        <v>1</v>
      </c>
      <c r="G101" s="2" t="b">
        <f>read_series_noheader_index(D101:E102)</f>
        <v>1</v>
      </c>
      <c r="H101" t="b">
        <f>G101=F101</f>
        <v>1</v>
      </c>
    </row>
    <row r="102" spans="1:8" x14ac:dyDescent="0.25">
      <c r="D102">
        <v>20</v>
      </c>
      <c r="E102">
        <v>2</v>
      </c>
    </row>
    <row r="104" spans="1:8" x14ac:dyDescent="0.25">
      <c r="A104" t="b">
        <f>H104</f>
        <v>1</v>
      </c>
      <c r="B104" s="3" t="s">
        <v>39</v>
      </c>
      <c r="C104" s="3"/>
      <c r="E104" s="12" t="s">
        <v>3</v>
      </c>
      <c r="F104" s="1" t="b">
        <v>1</v>
      </c>
      <c r="G104" s="2" t="b">
        <f>read_series_header_noindex(E104:E106)</f>
        <v>1</v>
      </c>
      <c r="H104" t="b">
        <f>G104=F104</f>
        <v>1</v>
      </c>
    </row>
    <row r="105" spans="1:8" x14ac:dyDescent="0.25">
      <c r="E105">
        <v>1</v>
      </c>
    </row>
    <row r="106" spans="1:8" x14ac:dyDescent="0.25">
      <c r="E106">
        <v>2</v>
      </c>
    </row>
    <row r="108" spans="1:8" x14ac:dyDescent="0.25">
      <c r="A108" t="b">
        <f>H108</f>
        <v>1</v>
      </c>
      <c r="B108" s="3" t="s">
        <v>40</v>
      </c>
      <c r="C108" s="3"/>
      <c r="D108" s="12" t="s">
        <v>4</v>
      </c>
      <c r="E108" s="12" t="s">
        <v>3</v>
      </c>
      <c r="F108" s="1" t="b">
        <v>1</v>
      </c>
      <c r="G108" s="2" t="b">
        <f>read_series_header_named_index(D108:E110)</f>
        <v>1</v>
      </c>
      <c r="H108" t="b">
        <f>G108=F108</f>
        <v>1</v>
      </c>
    </row>
    <row r="109" spans="1:8" x14ac:dyDescent="0.25">
      <c r="D109">
        <v>10</v>
      </c>
      <c r="E109">
        <v>1</v>
      </c>
    </row>
    <row r="110" spans="1:8" x14ac:dyDescent="0.25">
      <c r="D110">
        <v>20</v>
      </c>
      <c r="E110">
        <v>2</v>
      </c>
    </row>
    <row r="112" spans="1:8" x14ac:dyDescent="0.25">
      <c r="A112" t="b">
        <f>H112</f>
        <v>1</v>
      </c>
      <c r="B112" s="3" t="s">
        <v>41</v>
      </c>
      <c r="C112" s="3"/>
      <c r="E112" s="12" t="s">
        <v>3</v>
      </c>
      <c r="F112" s="1" t="b">
        <v>1</v>
      </c>
      <c r="G112" s="2" t="b">
        <f>read_series_header_nameless_index(D112:E114)</f>
        <v>1</v>
      </c>
      <c r="H112" t="b">
        <f>G112=F112</f>
        <v>1</v>
      </c>
    </row>
    <row r="113" spans="1:10" x14ac:dyDescent="0.25">
      <c r="D113">
        <v>10</v>
      </c>
      <c r="E113">
        <v>1</v>
      </c>
    </row>
    <row r="114" spans="1:10" x14ac:dyDescent="0.25">
      <c r="D114">
        <v>20</v>
      </c>
      <c r="E114">
        <v>2</v>
      </c>
    </row>
    <row r="116" spans="1:10" x14ac:dyDescent="0.25">
      <c r="A116" t="b">
        <f>AND(H116:H117)</f>
        <v>1</v>
      </c>
      <c r="B116" s="3" t="s">
        <v>42</v>
      </c>
      <c r="C116" s="3"/>
      <c r="F116" s="1">
        <v>1</v>
      </c>
      <c r="G116" s="2">
        <f t="array" ref="G116:G117">write_series_noheader_noindex()</f>
        <v>1</v>
      </c>
      <c r="H116" t="b">
        <f t="shared" ref="H116:H117" si="0">G116=F116</f>
        <v>1</v>
      </c>
    </row>
    <row r="117" spans="1:10" x14ac:dyDescent="0.25">
      <c r="F117" s="1">
        <v>2</v>
      </c>
      <c r="G117" s="2">
        <v>2</v>
      </c>
      <c r="H117" t="b">
        <f t="shared" si="0"/>
        <v>1</v>
      </c>
    </row>
    <row r="119" spans="1:10" x14ac:dyDescent="0.25">
      <c r="A119" t="b">
        <f>AND(I119:J120)</f>
        <v>1</v>
      </c>
      <c r="B119" s="3" t="s">
        <v>43</v>
      </c>
      <c r="C119" s="3"/>
      <c r="E119" s="1">
        <v>10</v>
      </c>
      <c r="F119" s="1">
        <v>1</v>
      </c>
      <c r="G119" s="2">
        <f t="array" ref="G119:H120">write_series_noheader_index()</f>
        <v>10</v>
      </c>
      <c r="H119" s="2">
        <v>1</v>
      </c>
      <c r="I119" t="b">
        <f>G119=E119</f>
        <v>1</v>
      </c>
      <c r="J119" t="b">
        <f>H119=F119</f>
        <v>1</v>
      </c>
    </row>
    <row r="120" spans="1:10" x14ac:dyDescent="0.25">
      <c r="E120" s="1">
        <v>20</v>
      </c>
      <c r="F120" s="1">
        <v>2</v>
      </c>
      <c r="G120" s="2">
        <v>20</v>
      </c>
      <c r="H120" s="2">
        <v>2</v>
      </c>
      <c r="I120" t="b">
        <f>G120=E120</f>
        <v>1</v>
      </c>
      <c r="J120" t="b">
        <f>H120=F120</f>
        <v>1</v>
      </c>
    </row>
    <row r="122" spans="1:10" x14ac:dyDescent="0.25">
      <c r="A122" t="b">
        <f>AND(H122:H124)</f>
        <v>1</v>
      </c>
      <c r="B122" s="3" t="s">
        <v>44</v>
      </c>
      <c r="C122" s="3"/>
      <c r="F122" s="15" t="s">
        <v>3</v>
      </c>
      <c r="G122" s="16" t="str">
        <f t="array" ref="G122:G124">write_series_header_noindex()</f>
        <v>name</v>
      </c>
      <c r="H122" t="b">
        <f>F122=G122</f>
        <v>1</v>
      </c>
    </row>
    <row r="123" spans="1:10" x14ac:dyDescent="0.25">
      <c r="F123" s="15">
        <v>1</v>
      </c>
      <c r="G123" s="16">
        <v>1</v>
      </c>
      <c r="H123" t="b">
        <f>F123=G123</f>
        <v>1</v>
      </c>
    </row>
    <row r="124" spans="1:10" x14ac:dyDescent="0.25">
      <c r="F124" s="15">
        <v>2</v>
      </c>
      <c r="G124" s="16">
        <v>2</v>
      </c>
      <c r="H124" t="b">
        <f>F124=G124</f>
        <v>1</v>
      </c>
    </row>
    <row r="126" spans="1:10" x14ac:dyDescent="0.25">
      <c r="A126" t="b">
        <f>AND(I126:J128)</f>
        <v>1</v>
      </c>
      <c r="B126" s="3" t="s">
        <v>45</v>
      </c>
      <c r="C126" s="3"/>
      <c r="E126" s="15" t="s">
        <v>4</v>
      </c>
      <c r="F126" s="15" t="s">
        <v>3</v>
      </c>
      <c r="G126" s="16" t="str">
        <f t="array" ref="G126:H128">write_series_header_named_index()</f>
        <v>ix</v>
      </c>
      <c r="H126" s="16" t="str">
        <v>name</v>
      </c>
      <c r="I126" t="b">
        <f>G126=E126</f>
        <v>1</v>
      </c>
      <c r="J126" t="b">
        <f>H126=F126</f>
        <v>1</v>
      </c>
    </row>
    <row r="127" spans="1:10" x14ac:dyDescent="0.25">
      <c r="E127" s="15">
        <v>10</v>
      </c>
      <c r="F127" s="15">
        <v>1</v>
      </c>
      <c r="G127" s="16">
        <v>10</v>
      </c>
      <c r="H127" s="16">
        <v>1</v>
      </c>
      <c r="I127" t="b">
        <f t="shared" ref="I127:J128" si="1">G127=E127</f>
        <v>1</v>
      </c>
      <c r="J127" t="b">
        <f t="shared" si="1"/>
        <v>1</v>
      </c>
    </row>
    <row r="128" spans="1:10" x14ac:dyDescent="0.25">
      <c r="E128" s="15">
        <v>20</v>
      </c>
      <c r="F128" s="15">
        <v>2</v>
      </c>
      <c r="G128" s="16">
        <v>20</v>
      </c>
      <c r="H128" s="16">
        <v>2</v>
      </c>
      <c r="I128" t="b">
        <f t="shared" si="1"/>
        <v>1</v>
      </c>
      <c r="J128" t="b">
        <f t="shared" si="1"/>
        <v>1</v>
      </c>
    </row>
    <row r="130" spans="1:10" x14ac:dyDescent="0.25">
      <c r="A130" t="b">
        <f>AND(I130:J132)</f>
        <v>1</v>
      </c>
      <c r="B130" s="3" t="s">
        <v>46</v>
      </c>
      <c r="C130" s="3"/>
      <c r="E130" s="1"/>
      <c r="F130" s="1" t="s">
        <v>3</v>
      </c>
      <c r="G130" s="2" t="str">
        <f t="array" ref="G130:H132">write_series_header_nameless_index()</f>
        <v/>
      </c>
      <c r="H130" s="2" t="str">
        <v>name</v>
      </c>
      <c r="I130" t="b">
        <f>G130=E130</f>
        <v>1</v>
      </c>
      <c r="J130" t="b">
        <f>H130=F130</f>
        <v>1</v>
      </c>
    </row>
    <row r="131" spans="1:10" x14ac:dyDescent="0.25">
      <c r="E131" s="1">
        <v>10</v>
      </c>
      <c r="F131" s="1">
        <v>1</v>
      </c>
      <c r="G131" s="2">
        <v>10</v>
      </c>
      <c r="H131" s="2">
        <v>1</v>
      </c>
      <c r="I131" t="b">
        <f t="shared" ref="I131:I132" si="2">G131=E131</f>
        <v>1</v>
      </c>
      <c r="J131" t="b">
        <f t="shared" ref="J131:J132" si="3">H131=F131</f>
        <v>1</v>
      </c>
    </row>
    <row r="132" spans="1:10" x14ac:dyDescent="0.25">
      <c r="E132" s="1">
        <v>20</v>
      </c>
      <c r="F132" s="1">
        <v>2</v>
      </c>
      <c r="G132" s="2">
        <v>20</v>
      </c>
      <c r="H132" s="2">
        <v>2</v>
      </c>
      <c r="I132" t="b">
        <f t="shared" si="2"/>
        <v>1</v>
      </c>
      <c r="J132" t="b">
        <f t="shared" si="3"/>
        <v>1</v>
      </c>
    </row>
    <row r="134" spans="1:10" x14ac:dyDescent="0.25">
      <c r="A134" t="b">
        <f>H134</f>
        <v>1</v>
      </c>
      <c r="B134" s="3" t="s">
        <v>47</v>
      </c>
      <c r="C134" s="3"/>
      <c r="E134" s="12" t="s">
        <v>48</v>
      </c>
      <c r="F134" s="1" t="b">
        <v>1</v>
      </c>
      <c r="G134" s="2" t="b">
        <f>read_timeseries(D134:E136)</f>
        <v>1</v>
      </c>
      <c r="H134" t="b">
        <f>G134=F134</f>
        <v>1</v>
      </c>
    </row>
    <row r="135" spans="1:10" x14ac:dyDescent="0.25">
      <c r="D135" s="9">
        <v>36880</v>
      </c>
      <c r="E135" s="10">
        <v>1.5</v>
      </c>
    </row>
    <row r="136" spans="1:10" x14ac:dyDescent="0.25">
      <c r="D136" s="9">
        <v>36881</v>
      </c>
      <c r="E136" s="10">
        <v>2.5</v>
      </c>
    </row>
    <row r="137" spans="1:10" x14ac:dyDescent="0.25">
      <c r="D137" s="9"/>
      <c r="E137" s="10"/>
    </row>
    <row r="138" spans="1:10" x14ac:dyDescent="0.25">
      <c r="A138" t="b">
        <f>AND(I138:J140)</f>
        <v>1</v>
      </c>
      <c r="B138" s="3" t="s">
        <v>49</v>
      </c>
      <c r="C138" s="3"/>
      <c r="E138" s="15"/>
      <c r="F138" s="15" t="s">
        <v>48</v>
      </c>
      <c r="G138" s="16" t="str">
        <f t="array" ref="G138:H140">write_timeseries()</f>
        <v/>
      </c>
      <c r="H138" s="16" t="str">
        <v>ts</v>
      </c>
      <c r="I138" t="b">
        <f>G138=E138</f>
        <v>1</v>
      </c>
      <c r="J138" t="b">
        <f>H138=F138</f>
        <v>1</v>
      </c>
    </row>
    <row r="139" spans="1:10" x14ac:dyDescent="0.25">
      <c r="E139" s="17">
        <v>36880</v>
      </c>
      <c r="F139" s="19">
        <v>1.5</v>
      </c>
      <c r="G139" s="18">
        <v>36880</v>
      </c>
      <c r="H139" s="16">
        <v>1.5</v>
      </c>
      <c r="I139" t="b">
        <f t="shared" ref="I139:I140" si="4">G139=E139</f>
        <v>1</v>
      </c>
      <c r="J139" t="b">
        <f t="shared" ref="J139:J140" si="5">H139=F139</f>
        <v>1</v>
      </c>
    </row>
    <row r="140" spans="1:10" x14ac:dyDescent="0.25">
      <c r="E140" s="17">
        <v>36881</v>
      </c>
      <c r="F140" s="19">
        <v>2.5</v>
      </c>
      <c r="G140" s="18">
        <v>36881</v>
      </c>
      <c r="H140" s="16">
        <v>2.5</v>
      </c>
      <c r="I140" t="b">
        <f t="shared" si="4"/>
        <v>1</v>
      </c>
      <c r="J140" t="b">
        <f t="shared" si="5"/>
        <v>1</v>
      </c>
    </row>
    <row r="142" spans="1:10" x14ac:dyDescent="0.25">
      <c r="A142" t="b">
        <f>H142</f>
        <v>1</v>
      </c>
      <c r="B142" s="3" t="s">
        <v>56</v>
      </c>
      <c r="C142" s="3"/>
      <c r="D142">
        <v>1</v>
      </c>
      <c r="E142">
        <v>2</v>
      </c>
      <c r="F142" s="1" t="b">
        <v>1</v>
      </c>
      <c r="G142" s="2" t="b">
        <f>read_df_0header_0index(D142:E143)</f>
        <v>1</v>
      </c>
      <c r="H142" t="b">
        <f>G142=F142</f>
        <v>1</v>
      </c>
    </row>
    <row r="143" spans="1:10" x14ac:dyDescent="0.25">
      <c r="D143">
        <v>3</v>
      </c>
      <c r="E143">
        <v>4</v>
      </c>
    </row>
    <row r="145" spans="1:12" x14ac:dyDescent="0.25">
      <c r="A145" t="b">
        <f>AND(I145:J146)</f>
        <v>1</v>
      </c>
      <c r="B145" s="3" t="s">
        <v>70</v>
      </c>
      <c r="C145" s="3"/>
      <c r="E145" s="1">
        <v>1</v>
      </c>
      <c r="F145" s="1">
        <v>2</v>
      </c>
      <c r="G145" s="2">
        <f t="array" ref="G145:H146">write_df_0header_0index()</f>
        <v>1</v>
      </c>
      <c r="H145" s="2">
        <v>2</v>
      </c>
      <c r="I145" t="b">
        <f>G145=E145</f>
        <v>1</v>
      </c>
      <c r="J145" t="b">
        <f>H145=F145</f>
        <v>1</v>
      </c>
    </row>
    <row r="146" spans="1:12" x14ac:dyDescent="0.25">
      <c r="E146" s="1">
        <v>3</v>
      </c>
      <c r="F146" s="1">
        <v>4</v>
      </c>
      <c r="G146" s="2">
        <v>3</v>
      </c>
      <c r="H146" s="2">
        <v>4</v>
      </c>
      <c r="I146" t="b">
        <f>G146=E146</f>
        <v>1</v>
      </c>
      <c r="J146" t="b">
        <f>H146=F146</f>
        <v>1</v>
      </c>
    </row>
    <row r="147" spans="1:12" s="4" customFormat="1" x14ac:dyDescent="0.25"/>
    <row r="148" spans="1:12" s="4" customFormat="1" x14ac:dyDescent="0.25">
      <c r="A148" s="4" t="b">
        <f>H148</f>
        <v>1</v>
      </c>
      <c r="B148" s="3" t="s">
        <v>80</v>
      </c>
      <c r="D148" s="13" t="s">
        <v>51</v>
      </c>
      <c r="E148" s="13" t="s">
        <v>52</v>
      </c>
      <c r="F148" s="1" t="b">
        <v>1</v>
      </c>
      <c r="G148" s="2" t="b">
        <f>read_df_1header_0index(D148:E150)</f>
        <v>1</v>
      </c>
      <c r="H148" s="4" t="b">
        <f>G148=F148</f>
        <v>1</v>
      </c>
    </row>
    <row r="149" spans="1:12" s="4" customFormat="1" x14ac:dyDescent="0.25">
      <c r="D149" s="12">
        <v>1</v>
      </c>
      <c r="E149" s="12">
        <v>2</v>
      </c>
    </row>
    <row r="150" spans="1:12" s="4" customFormat="1" x14ac:dyDescent="0.25">
      <c r="D150" s="12">
        <v>3</v>
      </c>
      <c r="E150" s="12">
        <v>4</v>
      </c>
    </row>
    <row r="151" spans="1:12" s="4" customFormat="1" x14ac:dyDescent="0.25"/>
    <row r="152" spans="1:12" s="4" customFormat="1" x14ac:dyDescent="0.25">
      <c r="A152" s="4" t="b">
        <f>AND(I152:J154)</f>
        <v>1</v>
      </c>
      <c r="B152" s="3" t="s">
        <v>81</v>
      </c>
      <c r="E152" s="15" t="s">
        <v>51</v>
      </c>
      <c r="F152" s="15" t="s">
        <v>52</v>
      </c>
      <c r="G152" s="16" t="str">
        <f t="array" ref="G152:H154">write_df_1header_0index()</f>
        <v>a</v>
      </c>
      <c r="H152" s="16" t="str">
        <v>b</v>
      </c>
      <c r="I152" s="4" t="b">
        <f>E152=G152</f>
        <v>1</v>
      </c>
      <c r="J152" s="4" t="b">
        <f>F152=H152</f>
        <v>1</v>
      </c>
    </row>
    <row r="153" spans="1:12" s="4" customFormat="1" x14ac:dyDescent="0.25">
      <c r="E153" s="15">
        <v>1</v>
      </c>
      <c r="F153" s="15">
        <v>2</v>
      </c>
      <c r="G153" s="16">
        <v>1</v>
      </c>
      <c r="H153" s="16">
        <v>2</v>
      </c>
      <c r="I153" s="4" t="b">
        <f t="shared" ref="I153:J154" si="6">E153=G153</f>
        <v>1</v>
      </c>
      <c r="J153" s="4" t="b">
        <f t="shared" si="6"/>
        <v>1</v>
      </c>
    </row>
    <row r="154" spans="1:12" s="4" customFormat="1" x14ac:dyDescent="0.25">
      <c r="E154" s="15">
        <v>3</v>
      </c>
      <c r="F154" s="15">
        <v>4</v>
      </c>
      <c r="G154" s="16">
        <v>3</v>
      </c>
      <c r="H154" s="16">
        <v>4</v>
      </c>
      <c r="I154" s="4" t="b">
        <f t="shared" si="6"/>
        <v>1</v>
      </c>
      <c r="J154" s="4" t="b">
        <f t="shared" si="6"/>
        <v>1</v>
      </c>
    </row>
    <row r="155" spans="1:12" s="4" customFormat="1" x14ac:dyDescent="0.25"/>
    <row r="156" spans="1:12" s="4" customFormat="1" x14ac:dyDescent="0.25">
      <c r="A156" s="4" t="b">
        <f>H156</f>
        <v>1</v>
      </c>
      <c r="B156" s="3" t="s">
        <v>82</v>
      </c>
      <c r="C156" s="4">
        <v>10</v>
      </c>
      <c r="D156" s="12">
        <v>1</v>
      </c>
      <c r="E156" s="12">
        <v>2</v>
      </c>
      <c r="F156" s="1" t="b">
        <v>1</v>
      </c>
      <c r="G156" s="2" t="b">
        <f>read_df_0header_1index(C156:E157)</f>
        <v>1</v>
      </c>
      <c r="H156" s="4" t="b">
        <f>G156=F156</f>
        <v>1</v>
      </c>
    </row>
    <row r="157" spans="1:12" s="4" customFormat="1" x14ac:dyDescent="0.25">
      <c r="C157" s="4">
        <v>20</v>
      </c>
      <c r="D157" s="12">
        <v>3</v>
      </c>
      <c r="E157" s="12">
        <v>4</v>
      </c>
    </row>
    <row r="158" spans="1:12" s="4" customFormat="1" x14ac:dyDescent="0.25"/>
    <row r="159" spans="1:12" s="4" customFormat="1" x14ac:dyDescent="0.25">
      <c r="A159" s="4" t="b">
        <f>AND(J159:L160)</f>
        <v>1</v>
      </c>
      <c r="B159" s="3" t="s">
        <v>83</v>
      </c>
      <c r="D159" s="1">
        <v>10</v>
      </c>
      <c r="E159" s="15">
        <v>1</v>
      </c>
      <c r="F159" s="15">
        <v>2</v>
      </c>
      <c r="G159" s="2">
        <f t="array" ref="G159:I160">write_df_0header_1index()</f>
        <v>10</v>
      </c>
      <c r="H159" s="16">
        <v>1</v>
      </c>
      <c r="I159" s="16">
        <v>2</v>
      </c>
      <c r="J159" s="4" t="b">
        <f>G159=D159</f>
        <v>1</v>
      </c>
      <c r="K159" s="4" t="b">
        <f t="shared" ref="K159:L159" si="7">H159=E159</f>
        <v>1</v>
      </c>
      <c r="L159" s="4" t="b">
        <f t="shared" si="7"/>
        <v>1</v>
      </c>
    </row>
    <row r="160" spans="1:12" s="4" customFormat="1" x14ac:dyDescent="0.25">
      <c r="D160" s="1">
        <v>20</v>
      </c>
      <c r="E160" s="15">
        <v>3</v>
      </c>
      <c r="F160" s="15">
        <v>4</v>
      </c>
      <c r="G160" s="2">
        <v>20</v>
      </c>
      <c r="H160" s="16">
        <v>3</v>
      </c>
      <c r="I160" s="16">
        <v>4</v>
      </c>
      <c r="J160" s="4" t="b">
        <f>G160=D160</f>
        <v>1</v>
      </c>
      <c r="K160" s="4" t="b">
        <f t="shared" ref="K160" si="8">H160=E160</f>
        <v>1</v>
      </c>
      <c r="L160" s="4" t="b">
        <f t="shared" ref="L160" si="9">I160=F160</f>
        <v>1</v>
      </c>
    </row>
    <row r="161" spans="1:16" s="4" customFormat="1" x14ac:dyDescent="0.25">
      <c r="E161" s="13"/>
      <c r="F161" s="13"/>
      <c r="H161" s="13"/>
      <c r="I161" s="13"/>
    </row>
    <row r="162" spans="1:16" s="4" customFormat="1" x14ac:dyDescent="0.25">
      <c r="A162" s="4" t="b">
        <f>H162</f>
        <v>1</v>
      </c>
      <c r="B162" s="3" t="s">
        <v>86</v>
      </c>
      <c r="E162" s="13"/>
      <c r="F162" s="1" t="b">
        <v>1</v>
      </c>
      <c r="G162" s="2" t="b">
        <f>read_df_0header_2index(B164:F166)</f>
        <v>1</v>
      </c>
      <c r="H162" s="4" t="b">
        <f>G162=F162</f>
        <v>1</v>
      </c>
      <c r="I162" s="13"/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B164" s="27" t="s">
        <v>51</v>
      </c>
      <c r="C164" s="27">
        <v>1</v>
      </c>
      <c r="D164" s="13">
        <v>1</v>
      </c>
      <c r="E164" s="13">
        <v>2</v>
      </c>
      <c r="F164" s="13">
        <v>3</v>
      </c>
      <c r="H164" s="13"/>
      <c r="I164" s="13"/>
    </row>
    <row r="165" spans="1:16" s="4" customFormat="1" x14ac:dyDescent="0.25">
      <c r="B165" s="27" t="s">
        <v>51</v>
      </c>
      <c r="C165" s="27">
        <v>2</v>
      </c>
      <c r="D165" s="13">
        <v>4</v>
      </c>
      <c r="E165" s="13">
        <v>5</v>
      </c>
      <c r="F165" s="13">
        <v>6</v>
      </c>
      <c r="H165" s="13"/>
      <c r="I165" s="13"/>
    </row>
    <row r="166" spans="1:16" s="4" customFormat="1" x14ac:dyDescent="0.25">
      <c r="B166" s="27" t="s">
        <v>52</v>
      </c>
      <c r="C166" s="27">
        <v>1</v>
      </c>
      <c r="D166" s="13">
        <v>7</v>
      </c>
      <c r="E166" s="13">
        <v>8</v>
      </c>
      <c r="F166" s="13">
        <v>9</v>
      </c>
      <c r="H166" s="13"/>
      <c r="I166" s="13"/>
    </row>
    <row r="167" spans="1:16" s="4" customFormat="1" x14ac:dyDescent="0.25">
      <c r="B167" s="27"/>
      <c r="C167" s="27"/>
      <c r="D167" s="13"/>
      <c r="E167" s="13"/>
      <c r="F167" s="13"/>
      <c r="H167" s="13"/>
      <c r="I167" s="13"/>
    </row>
    <row r="168" spans="1:16" s="4" customFormat="1" x14ac:dyDescent="0.25">
      <c r="A168" s="4" t="b">
        <f>AND(L169:P171)</f>
        <v>1</v>
      </c>
      <c r="B168" s="3" t="s">
        <v>87</v>
      </c>
      <c r="C168" s="27"/>
      <c r="D168" s="13"/>
      <c r="E168" s="13"/>
      <c r="F168" s="13"/>
      <c r="H168" s="13"/>
      <c r="I168" s="13"/>
    </row>
    <row r="169" spans="1:16" s="4" customFormat="1" x14ac:dyDescent="0.25">
      <c r="B169" s="28" t="s">
        <v>51</v>
      </c>
      <c r="C169" s="28">
        <v>1</v>
      </c>
      <c r="D169" s="15">
        <v>1</v>
      </c>
      <c r="E169" s="15">
        <v>2</v>
      </c>
      <c r="F169" s="15">
        <v>3</v>
      </c>
      <c r="G169" s="2" t="str">
        <f t="array" ref="G169:K171">write_df_0header_2index()</f>
        <v>a</v>
      </c>
      <c r="H169" s="16">
        <v>1</v>
      </c>
      <c r="I169" s="16">
        <v>1</v>
      </c>
      <c r="J169" s="2">
        <v>2</v>
      </c>
      <c r="K169" s="2">
        <v>3</v>
      </c>
      <c r="L169" s="4" t="b">
        <f>B169=G169</f>
        <v>1</v>
      </c>
      <c r="M169" s="4" t="b">
        <f t="shared" ref="M169:P169" si="10">C169=H169</f>
        <v>1</v>
      </c>
      <c r="N169" s="4" t="b">
        <f t="shared" si="10"/>
        <v>1</v>
      </c>
      <c r="O169" s="4" t="b">
        <f t="shared" si="10"/>
        <v>1</v>
      </c>
      <c r="P169" s="4" t="b">
        <f t="shared" si="10"/>
        <v>1</v>
      </c>
    </row>
    <row r="170" spans="1:16" s="4" customFormat="1" x14ac:dyDescent="0.25">
      <c r="B170" s="28" t="s">
        <v>51</v>
      </c>
      <c r="C170" s="28">
        <v>2</v>
      </c>
      <c r="D170" s="15">
        <v>4</v>
      </c>
      <c r="E170" s="15">
        <v>5</v>
      </c>
      <c r="F170" s="15">
        <v>6</v>
      </c>
      <c r="G170" s="2" t="str">
        <v>a</v>
      </c>
      <c r="H170" s="16">
        <v>2</v>
      </c>
      <c r="I170" s="16">
        <v>4</v>
      </c>
      <c r="J170" s="2">
        <v>5</v>
      </c>
      <c r="K170" s="2">
        <v>6</v>
      </c>
      <c r="L170" s="4" t="b">
        <f t="shared" ref="L170:L171" si="11">B170=G170</f>
        <v>1</v>
      </c>
      <c r="M170" s="4" t="b">
        <f t="shared" ref="M170:M171" si="12">C170=H170</f>
        <v>1</v>
      </c>
      <c r="N170" s="4" t="b">
        <f t="shared" ref="N170:N171" si="13">D170=I170</f>
        <v>1</v>
      </c>
      <c r="O170" s="4" t="b">
        <f t="shared" ref="O170:O171" si="14">E170=J170</f>
        <v>1</v>
      </c>
      <c r="P170" s="4" t="b">
        <f t="shared" ref="P170:P171" si="15">F170=K170</f>
        <v>1</v>
      </c>
    </row>
    <row r="171" spans="1:16" s="4" customFormat="1" x14ac:dyDescent="0.25">
      <c r="B171" s="28" t="s">
        <v>52</v>
      </c>
      <c r="C171" s="28">
        <v>1</v>
      </c>
      <c r="D171" s="15">
        <v>7</v>
      </c>
      <c r="E171" s="15">
        <v>8</v>
      </c>
      <c r="F171" s="15">
        <v>9</v>
      </c>
      <c r="G171" s="2" t="str">
        <v>b</v>
      </c>
      <c r="H171" s="16">
        <v>1</v>
      </c>
      <c r="I171" s="16">
        <v>7</v>
      </c>
      <c r="J171" s="2">
        <v>8</v>
      </c>
      <c r="K171" s="2">
        <v>9</v>
      </c>
      <c r="L171" s="4" t="b">
        <f t="shared" si="11"/>
        <v>1</v>
      </c>
      <c r="M171" s="4" t="b">
        <f t="shared" si="12"/>
        <v>1</v>
      </c>
      <c r="N171" s="4" t="b">
        <f t="shared" si="13"/>
        <v>1</v>
      </c>
      <c r="O171" s="4" t="b">
        <f t="shared" si="14"/>
        <v>1</v>
      </c>
      <c r="P171" s="4" t="b">
        <f t="shared" si="15"/>
        <v>1</v>
      </c>
    </row>
    <row r="172" spans="1:16" s="4" customFormat="1" x14ac:dyDescent="0.25">
      <c r="B172" s="27"/>
      <c r="C172" s="27"/>
      <c r="D172" s="13"/>
      <c r="E172" s="13"/>
      <c r="F172" s="13"/>
      <c r="H172" s="13"/>
      <c r="I172" s="13"/>
    </row>
    <row r="173" spans="1:16" x14ac:dyDescent="0.25">
      <c r="A173" t="b">
        <f>H173</f>
        <v>1</v>
      </c>
      <c r="B173" s="3" t="s">
        <v>57</v>
      </c>
      <c r="F173" s="1" t="b">
        <v>1</v>
      </c>
      <c r="G173" s="2" t="b">
        <f>read_df_1header_1namedindex(B174:E176)</f>
        <v>1</v>
      </c>
      <c r="H173" t="b">
        <f>G173=F173</f>
        <v>1</v>
      </c>
    </row>
    <row r="174" spans="1:16" x14ac:dyDescent="0.25">
      <c r="B174" s="12" t="s">
        <v>59</v>
      </c>
      <c r="C174" s="12" t="s">
        <v>53</v>
      </c>
      <c r="D174" s="12" t="s">
        <v>58</v>
      </c>
      <c r="E174" s="12" t="s">
        <v>53</v>
      </c>
    </row>
    <row r="175" spans="1:16" x14ac:dyDescent="0.25">
      <c r="B175" s="12">
        <v>1</v>
      </c>
      <c r="C175" s="12">
        <v>1</v>
      </c>
      <c r="D175" s="12">
        <v>2</v>
      </c>
      <c r="E175" s="12">
        <v>3</v>
      </c>
    </row>
    <row r="176" spans="1:16" x14ac:dyDescent="0.25">
      <c r="B176" s="12">
        <v>2</v>
      </c>
      <c r="C176" s="12">
        <v>4</v>
      </c>
      <c r="D176" s="12">
        <v>5</v>
      </c>
      <c r="E176" s="12">
        <v>6</v>
      </c>
    </row>
    <row r="177" spans="1:14" x14ac:dyDescent="0.25">
      <c r="B177" s="12"/>
      <c r="C177" s="12"/>
      <c r="D177" s="12"/>
      <c r="E177" s="12"/>
    </row>
    <row r="178" spans="1:14" x14ac:dyDescent="0.25">
      <c r="A178" t="b">
        <f>AND(K178:N180)</f>
        <v>1</v>
      </c>
      <c r="B178" s="3" t="s">
        <v>71</v>
      </c>
      <c r="C178" s="15" t="s">
        <v>59</v>
      </c>
      <c r="D178" s="15" t="s">
        <v>53</v>
      </c>
      <c r="E178" s="15" t="s">
        <v>58</v>
      </c>
      <c r="F178" s="15" t="s">
        <v>53</v>
      </c>
      <c r="G178" s="16" t="str">
        <f t="array" ref="G178:J180">write_df_1header_1namedindex()</f>
        <v>ix1</v>
      </c>
      <c r="H178" s="16" t="str">
        <v>c</v>
      </c>
      <c r="I178" s="16" t="str">
        <v>d</v>
      </c>
      <c r="J178" s="16" t="str">
        <v>c</v>
      </c>
      <c r="K178" t="b">
        <f>G178=C178</f>
        <v>1</v>
      </c>
      <c r="L178" t="b">
        <f t="shared" ref="L178:N178" si="16">H178=D178</f>
        <v>1</v>
      </c>
      <c r="M178" t="b">
        <f t="shared" si="16"/>
        <v>1</v>
      </c>
      <c r="N178" t="b">
        <f t="shared" si="16"/>
        <v>1</v>
      </c>
    </row>
    <row r="179" spans="1:14" x14ac:dyDescent="0.25">
      <c r="B179" s="12"/>
      <c r="C179" s="15">
        <v>1</v>
      </c>
      <c r="D179" s="15">
        <v>1</v>
      </c>
      <c r="E179" s="15">
        <v>2</v>
      </c>
      <c r="F179" s="15">
        <v>3</v>
      </c>
      <c r="G179" s="16">
        <v>1</v>
      </c>
      <c r="H179" s="16">
        <v>1</v>
      </c>
      <c r="I179" s="16">
        <v>2</v>
      </c>
      <c r="J179" s="16">
        <v>3</v>
      </c>
      <c r="K179" t="b">
        <f t="shared" ref="K179:K180" si="17">G179=C179</f>
        <v>1</v>
      </c>
      <c r="L179" t="b">
        <f t="shared" ref="L179:L180" si="18">H179=D179</f>
        <v>1</v>
      </c>
      <c r="M179" t="b">
        <f t="shared" ref="M179:M180" si="19">I179=E179</f>
        <v>1</v>
      </c>
      <c r="N179" t="b">
        <f t="shared" ref="N179:N180" si="20">J179=F179</f>
        <v>1</v>
      </c>
    </row>
    <row r="180" spans="1:14" x14ac:dyDescent="0.25">
      <c r="B180" s="12"/>
      <c r="C180" s="15">
        <v>2</v>
      </c>
      <c r="D180" s="15">
        <v>4</v>
      </c>
      <c r="E180" s="15">
        <v>5</v>
      </c>
      <c r="F180" s="15">
        <v>6</v>
      </c>
      <c r="G180" s="16">
        <v>2</v>
      </c>
      <c r="H180" s="16">
        <v>4</v>
      </c>
      <c r="I180" s="16">
        <v>5</v>
      </c>
      <c r="J180" s="16">
        <v>6</v>
      </c>
      <c r="K180" t="b">
        <f t="shared" si="17"/>
        <v>1</v>
      </c>
      <c r="L180" t="b">
        <f t="shared" si="18"/>
        <v>1</v>
      </c>
      <c r="M180" t="b">
        <f t="shared" si="19"/>
        <v>1</v>
      </c>
      <c r="N180" t="b">
        <f t="shared" si="20"/>
        <v>1</v>
      </c>
    </row>
    <row r="181" spans="1:14" x14ac:dyDescent="0.25">
      <c r="B181" s="12"/>
    </row>
    <row r="182" spans="1:14" x14ac:dyDescent="0.25">
      <c r="A182" t="b">
        <f>H182</f>
        <v>1</v>
      </c>
      <c r="B182" s="3" t="s">
        <v>60</v>
      </c>
      <c r="F182" s="1" t="b">
        <v>1</v>
      </c>
      <c r="G182" s="2" t="b">
        <f>read_df_1header_1unnamedindex(B183:E185)</f>
        <v>1</v>
      </c>
      <c r="H182" t="b">
        <f>G182=F182</f>
        <v>1</v>
      </c>
    </row>
    <row r="183" spans="1:14" x14ac:dyDescent="0.25">
      <c r="B183" s="12"/>
      <c r="C183" s="12" t="s">
        <v>53</v>
      </c>
      <c r="D183" s="12" t="s">
        <v>58</v>
      </c>
      <c r="E183" s="12" t="s">
        <v>53</v>
      </c>
    </row>
    <row r="184" spans="1:14" x14ac:dyDescent="0.25">
      <c r="B184" s="12">
        <v>1</v>
      </c>
      <c r="C184" s="12">
        <v>1</v>
      </c>
      <c r="D184" s="12">
        <v>2</v>
      </c>
      <c r="E184" s="12">
        <v>3</v>
      </c>
    </row>
    <row r="185" spans="1:14" x14ac:dyDescent="0.25">
      <c r="B185" s="12">
        <v>2</v>
      </c>
      <c r="C185" s="12">
        <v>4</v>
      </c>
      <c r="D185" s="12">
        <v>5</v>
      </c>
      <c r="E185" s="12">
        <v>6</v>
      </c>
    </row>
    <row r="186" spans="1:14" x14ac:dyDescent="0.25">
      <c r="B186" s="12"/>
      <c r="C186" s="12"/>
      <c r="D186" s="12"/>
      <c r="E186" s="12"/>
    </row>
    <row r="187" spans="1:14" x14ac:dyDescent="0.25">
      <c r="A187" t="b">
        <f>AND(K187:N189)</f>
        <v>1</v>
      </c>
      <c r="B187" s="3" t="s">
        <v>72</v>
      </c>
      <c r="C187" s="15"/>
      <c r="D187" s="15" t="s">
        <v>53</v>
      </c>
      <c r="E187" s="15" t="s">
        <v>58</v>
      </c>
      <c r="F187" s="15" t="s">
        <v>53</v>
      </c>
      <c r="G187" s="16" t="str">
        <f t="array" ref="G187:J189">write_df_1header_1unnamedindex()</f>
        <v/>
      </c>
      <c r="H187" s="16" t="str">
        <v>c</v>
      </c>
      <c r="I187" s="16" t="str">
        <v>d</v>
      </c>
      <c r="J187" s="16" t="str">
        <v>c</v>
      </c>
      <c r="K187" t="b">
        <f>G187=C187</f>
        <v>1</v>
      </c>
      <c r="L187" t="b">
        <f t="shared" ref="L187:L189" si="21">H187=D187</f>
        <v>1</v>
      </c>
      <c r="M187" t="b">
        <f t="shared" ref="M187:M189" si="22">I187=E187</f>
        <v>1</v>
      </c>
      <c r="N187" t="b">
        <f t="shared" ref="N187:N189" si="23">J187=F187</f>
        <v>1</v>
      </c>
    </row>
    <row r="188" spans="1:14" x14ac:dyDescent="0.25">
      <c r="B188" s="12"/>
      <c r="C188" s="15">
        <v>1</v>
      </c>
      <c r="D188" s="15">
        <v>1</v>
      </c>
      <c r="E188" s="15">
        <v>2</v>
      </c>
      <c r="F188" s="15">
        <v>3</v>
      </c>
      <c r="G188" s="16">
        <v>1</v>
      </c>
      <c r="H188" s="16">
        <v>1</v>
      </c>
      <c r="I188" s="16">
        <v>2</v>
      </c>
      <c r="J188" s="16">
        <v>3</v>
      </c>
      <c r="K188" t="b">
        <f t="shared" ref="K188:K189" si="24">G188=C188</f>
        <v>1</v>
      </c>
      <c r="L188" t="b">
        <f t="shared" si="21"/>
        <v>1</v>
      </c>
      <c r="M188" t="b">
        <f t="shared" si="22"/>
        <v>1</v>
      </c>
      <c r="N188" t="b">
        <f t="shared" si="23"/>
        <v>1</v>
      </c>
    </row>
    <row r="189" spans="1:14" x14ac:dyDescent="0.25">
      <c r="B189" s="12"/>
      <c r="C189" s="15">
        <v>2</v>
      </c>
      <c r="D189" s="15">
        <v>4</v>
      </c>
      <c r="E189" s="15">
        <v>5</v>
      </c>
      <c r="F189" s="15">
        <v>6</v>
      </c>
      <c r="G189" s="16">
        <v>2</v>
      </c>
      <c r="H189" s="16">
        <v>4</v>
      </c>
      <c r="I189" s="16">
        <v>5</v>
      </c>
      <c r="J189" s="16">
        <v>6</v>
      </c>
      <c r="K189" t="b">
        <f t="shared" si="24"/>
        <v>1</v>
      </c>
      <c r="L189" t="b">
        <f t="shared" si="21"/>
        <v>1</v>
      </c>
      <c r="M189" t="b">
        <f t="shared" si="22"/>
        <v>1</v>
      </c>
      <c r="N189" t="b">
        <f t="shared" si="23"/>
        <v>1</v>
      </c>
    </row>
    <row r="190" spans="1:14" s="4" customFormat="1" x14ac:dyDescent="0.25"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4" s="4" customFormat="1" x14ac:dyDescent="0.25">
      <c r="A191" s="4" t="b">
        <f>H191</f>
        <v>1</v>
      </c>
      <c r="B191" s="3" t="s">
        <v>84</v>
      </c>
      <c r="C191" s="13"/>
      <c r="D191" s="13"/>
      <c r="E191" s="13"/>
      <c r="F191" s="1" t="b">
        <v>1</v>
      </c>
      <c r="G191" s="2" t="b">
        <f t="array" ref="G191">read_df_2header_0index(C192:E195)</f>
        <v>1</v>
      </c>
      <c r="H191" s="13" t="b">
        <f>F191=G191</f>
        <v>1</v>
      </c>
      <c r="I191" s="13"/>
      <c r="J191" s="13"/>
    </row>
    <row r="192" spans="1:14" s="4" customFormat="1" x14ac:dyDescent="0.25">
      <c r="B192" s="6"/>
      <c r="C192" s="13" t="s">
        <v>51</v>
      </c>
      <c r="D192" s="13" t="s">
        <v>51</v>
      </c>
      <c r="E192" s="13" t="s">
        <v>52</v>
      </c>
      <c r="H192" s="13"/>
      <c r="I192" s="13"/>
      <c r="J192" s="13"/>
    </row>
    <row r="193" spans="1:14" s="4" customFormat="1" x14ac:dyDescent="0.25">
      <c r="B193" s="6"/>
      <c r="C193" s="13" t="s">
        <v>53</v>
      </c>
      <c r="D193" s="13" t="s">
        <v>58</v>
      </c>
      <c r="E193" s="13" t="s">
        <v>53</v>
      </c>
      <c r="H193" s="13"/>
      <c r="I193" s="13"/>
      <c r="J193" s="13"/>
    </row>
    <row r="194" spans="1:14" s="4" customFormat="1" x14ac:dyDescent="0.25">
      <c r="B194" s="6"/>
      <c r="C194" s="13">
        <v>1</v>
      </c>
      <c r="D194" s="13">
        <v>2</v>
      </c>
      <c r="E194" s="13">
        <v>3</v>
      </c>
      <c r="H194" s="13"/>
      <c r="I194" s="13"/>
      <c r="J194" s="13"/>
    </row>
    <row r="195" spans="1:14" s="4" customFormat="1" x14ac:dyDescent="0.25">
      <c r="B195" s="6"/>
      <c r="C195" s="13">
        <v>4</v>
      </c>
      <c r="D195" s="13">
        <v>5</v>
      </c>
      <c r="E195" s="13">
        <v>6</v>
      </c>
      <c r="H195" s="13"/>
      <c r="I195" s="13"/>
      <c r="J195" s="13"/>
    </row>
    <row r="196" spans="1:14" s="4" customFormat="1" x14ac:dyDescent="0.25"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4" s="4" customFormat="1" x14ac:dyDescent="0.25">
      <c r="A197" s="4" t="b">
        <f>AND(J197:L200)</f>
        <v>1</v>
      </c>
      <c r="B197" s="3" t="s">
        <v>85</v>
      </c>
      <c r="C197" s="13"/>
      <c r="D197" s="15" t="s">
        <v>51</v>
      </c>
      <c r="E197" s="15" t="s">
        <v>51</v>
      </c>
      <c r="F197" s="15" t="s">
        <v>52</v>
      </c>
      <c r="G197" s="16" t="str">
        <f t="array" ref="G197:I200">write_df_2header_0index()</f>
        <v>a</v>
      </c>
      <c r="H197" s="16" t="str">
        <v>a</v>
      </c>
      <c r="I197" s="16" t="str">
        <v>b</v>
      </c>
      <c r="J197" s="13" t="b">
        <f>D197=G197</f>
        <v>1</v>
      </c>
      <c r="K197" s="13" t="b">
        <f t="shared" ref="K197:L200" si="25">E197=H197</f>
        <v>1</v>
      </c>
      <c r="L197" s="13" t="b">
        <f t="shared" si="25"/>
        <v>1</v>
      </c>
    </row>
    <row r="198" spans="1:14" s="4" customFormat="1" x14ac:dyDescent="0.25">
      <c r="B198" s="13"/>
      <c r="C198" s="13"/>
      <c r="D198" s="15" t="s">
        <v>53</v>
      </c>
      <c r="E198" s="15" t="s">
        <v>58</v>
      </c>
      <c r="F198" s="15" t="s">
        <v>53</v>
      </c>
      <c r="G198" s="16" t="str">
        <v>c</v>
      </c>
      <c r="H198" s="16" t="str">
        <v>d</v>
      </c>
      <c r="I198" s="16" t="str">
        <v>c</v>
      </c>
      <c r="J198" s="13" t="b">
        <f t="shared" ref="J198:J200" si="26">D198=G198</f>
        <v>1</v>
      </c>
      <c r="K198" s="13" t="b">
        <f t="shared" si="25"/>
        <v>1</v>
      </c>
      <c r="L198" s="13" t="b">
        <f t="shared" si="25"/>
        <v>1</v>
      </c>
    </row>
    <row r="199" spans="1:14" s="4" customFormat="1" x14ac:dyDescent="0.25">
      <c r="B199" s="13"/>
      <c r="C199" s="13"/>
      <c r="D199" s="15">
        <v>1</v>
      </c>
      <c r="E199" s="15">
        <v>2</v>
      </c>
      <c r="F199" s="15">
        <v>3</v>
      </c>
      <c r="G199" s="16">
        <v>1</v>
      </c>
      <c r="H199" s="16">
        <v>2</v>
      </c>
      <c r="I199" s="16">
        <v>3</v>
      </c>
      <c r="J199" s="13" t="b">
        <f t="shared" si="26"/>
        <v>1</v>
      </c>
      <c r="K199" s="13" t="b">
        <f t="shared" si="25"/>
        <v>1</v>
      </c>
      <c r="L199" s="13" t="b">
        <f t="shared" si="25"/>
        <v>1</v>
      </c>
    </row>
    <row r="200" spans="1:14" s="4" customFormat="1" x14ac:dyDescent="0.25">
      <c r="B200" s="13"/>
      <c r="C200" s="13"/>
      <c r="D200" s="15">
        <v>4</v>
      </c>
      <c r="E200" s="15">
        <v>5</v>
      </c>
      <c r="F200" s="15">
        <v>6</v>
      </c>
      <c r="G200" s="16">
        <v>4</v>
      </c>
      <c r="H200" s="16">
        <v>5</v>
      </c>
      <c r="I200" s="16">
        <v>6</v>
      </c>
      <c r="J200" s="13" t="b">
        <f t="shared" si="26"/>
        <v>1</v>
      </c>
      <c r="K200" s="13" t="b">
        <f t="shared" si="25"/>
        <v>1</v>
      </c>
      <c r="L200" s="13" t="b">
        <f t="shared" si="25"/>
        <v>1</v>
      </c>
    </row>
    <row r="202" spans="1:14" x14ac:dyDescent="0.25">
      <c r="A202" t="b">
        <f>H202</f>
        <v>1</v>
      </c>
      <c r="B202" s="3" t="s">
        <v>61</v>
      </c>
      <c r="F202" s="1" t="b">
        <v>1</v>
      </c>
      <c r="G202" s="2" t="b">
        <f>read_df_2header_1namedindex(B203:E206)</f>
        <v>1</v>
      </c>
      <c r="H202" t="b">
        <f>G202=F202</f>
        <v>1</v>
      </c>
    </row>
    <row r="203" spans="1:14" x14ac:dyDescent="0.25">
      <c r="C203" s="12" t="s">
        <v>51</v>
      </c>
      <c r="D203" s="12" t="s">
        <v>51</v>
      </c>
      <c r="E203" s="12" t="s">
        <v>52</v>
      </c>
    </row>
    <row r="204" spans="1:14" x14ac:dyDescent="0.25">
      <c r="B204" s="12" t="s">
        <v>59</v>
      </c>
      <c r="C204" s="12" t="s">
        <v>53</v>
      </c>
      <c r="D204" s="12" t="s">
        <v>58</v>
      </c>
      <c r="E204" s="12" t="s">
        <v>53</v>
      </c>
    </row>
    <row r="205" spans="1:14" x14ac:dyDescent="0.25">
      <c r="B205" s="12">
        <v>1</v>
      </c>
      <c r="C205" s="12">
        <v>1</v>
      </c>
      <c r="D205" s="12">
        <v>2</v>
      </c>
      <c r="E205" s="12">
        <v>3</v>
      </c>
    </row>
    <row r="206" spans="1:14" x14ac:dyDescent="0.25">
      <c r="B206" s="12">
        <v>2</v>
      </c>
      <c r="C206" s="12">
        <v>4</v>
      </c>
      <c r="D206" s="12">
        <v>5</v>
      </c>
      <c r="E206" s="12">
        <v>6</v>
      </c>
    </row>
    <row r="207" spans="1:14" x14ac:dyDescent="0.25">
      <c r="B207" s="12"/>
      <c r="C207" s="12"/>
      <c r="D207" s="12"/>
      <c r="E207" s="12"/>
    </row>
    <row r="208" spans="1:14" x14ac:dyDescent="0.25">
      <c r="A208" t="b">
        <f>AND(K208:N211)</f>
        <v>1</v>
      </c>
      <c r="B208" s="3" t="s">
        <v>69</v>
      </c>
      <c r="C208" s="1"/>
      <c r="D208" s="15" t="s">
        <v>51</v>
      </c>
      <c r="E208" s="15" t="s">
        <v>51</v>
      </c>
      <c r="F208" s="15" t="s">
        <v>52</v>
      </c>
      <c r="G208" s="16" t="str">
        <f t="array" ref="G208:J211">write_df_2header_1namedindex()</f>
        <v/>
      </c>
      <c r="H208" s="16" t="str">
        <v>a</v>
      </c>
      <c r="I208" s="16" t="str">
        <v>a</v>
      </c>
      <c r="J208" s="16" t="str">
        <v>b</v>
      </c>
      <c r="K208" t="b">
        <f>G208=C208</f>
        <v>1</v>
      </c>
      <c r="L208" t="b">
        <f t="shared" ref="L208:N208" si="27">H208=D208</f>
        <v>1</v>
      </c>
      <c r="M208" t="b">
        <f t="shared" si="27"/>
        <v>1</v>
      </c>
      <c r="N208" t="b">
        <f t="shared" si="27"/>
        <v>1</v>
      </c>
    </row>
    <row r="209" spans="1:14" x14ac:dyDescent="0.25">
      <c r="C209" s="15" t="s">
        <v>59</v>
      </c>
      <c r="D209" s="15" t="s">
        <v>53</v>
      </c>
      <c r="E209" s="15" t="s">
        <v>58</v>
      </c>
      <c r="F209" s="15" t="s">
        <v>53</v>
      </c>
      <c r="G209" s="16" t="str">
        <v>ix1</v>
      </c>
      <c r="H209" s="16" t="str">
        <v>c</v>
      </c>
      <c r="I209" s="16" t="str">
        <v>d</v>
      </c>
      <c r="J209" s="16" t="str">
        <v>c</v>
      </c>
      <c r="K209" t="b">
        <f t="shared" ref="K209:K211" si="28">G209=C209</f>
        <v>1</v>
      </c>
      <c r="L209" t="b">
        <f t="shared" ref="L209:L211" si="29">H209=D209</f>
        <v>1</v>
      </c>
      <c r="M209" t="b">
        <f t="shared" ref="M209:M211" si="30">I209=E209</f>
        <v>1</v>
      </c>
      <c r="N209" t="b">
        <f t="shared" ref="N209:N211" si="31">J209=F209</f>
        <v>1</v>
      </c>
    </row>
    <row r="210" spans="1:14" x14ac:dyDescent="0.25">
      <c r="C210" s="15">
        <v>1</v>
      </c>
      <c r="D210" s="15">
        <v>1</v>
      </c>
      <c r="E210" s="15">
        <v>2</v>
      </c>
      <c r="F210" s="15">
        <v>3</v>
      </c>
      <c r="G210" s="16">
        <v>1</v>
      </c>
      <c r="H210" s="16">
        <v>1</v>
      </c>
      <c r="I210" s="16">
        <v>2</v>
      </c>
      <c r="J210" s="16">
        <v>3</v>
      </c>
      <c r="K210" t="b">
        <f t="shared" si="28"/>
        <v>1</v>
      </c>
      <c r="L210" t="b">
        <f t="shared" si="29"/>
        <v>1</v>
      </c>
      <c r="M210" t="b">
        <f t="shared" si="30"/>
        <v>1</v>
      </c>
      <c r="N210" t="b">
        <f t="shared" si="31"/>
        <v>1</v>
      </c>
    </row>
    <row r="211" spans="1:14" x14ac:dyDescent="0.25">
      <c r="C211" s="15">
        <v>2</v>
      </c>
      <c r="D211" s="15">
        <v>4</v>
      </c>
      <c r="E211" s="15">
        <v>5</v>
      </c>
      <c r="F211" s="15">
        <v>6</v>
      </c>
      <c r="G211" s="16">
        <v>2</v>
      </c>
      <c r="H211" s="16">
        <v>4</v>
      </c>
      <c r="I211" s="16">
        <v>5</v>
      </c>
      <c r="J211" s="16">
        <v>6</v>
      </c>
      <c r="K211" t="b">
        <f t="shared" si="28"/>
        <v>1</v>
      </c>
      <c r="L211" t="b">
        <f t="shared" si="29"/>
        <v>1</v>
      </c>
      <c r="M211" t="b">
        <f t="shared" si="30"/>
        <v>1</v>
      </c>
      <c r="N211" t="b">
        <f t="shared" si="31"/>
        <v>1</v>
      </c>
    </row>
    <row r="213" spans="1:14" x14ac:dyDescent="0.25">
      <c r="A213" t="b">
        <f>H213</f>
        <v>1</v>
      </c>
      <c r="B213" s="3" t="s">
        <v>62</v>
      </c>
      <c r="F213" s="1" t="b">
        <v>1</v>
      </c>
      <c r="G213" s="2" t="b">
        <f>read_df_2header_1unnamedindex(B214:E217)</f>
        <v>1</v>
      </c>
      <c r="H213" t="b">
        <f>G213=F213</f>
        <v>1</v>
      </c>
    </row>
    <row r="214" spans="1:14" x14ac:dyDescent="0.25">
      <c r="C214" s="12" t="s">
        <v>51</v>
      </c>
      <c r="D214" s="12" t="s">
        <v>51</v>
      </c>
      <c r="E214" s="12" t="s">
        <v>52</v>
      </c>
    </row>
    <row r="215" spans="1:14" x14ac:dyDescent="0.25">
      <c r="B215" s="12"/>
      <c r="C215" s="12" t="s">
        <v>53</v>
      </c>
      <c r="D215" s="12" t="s">
        <v>58</v>
      </c>
      <c r="E215" s="12" t="s">
        <v>53</v>
      </c>
    </row>
    <row r="216" spans="1:14" x14ac:dyDescent="0.25">
      <c r="B216" s="12">
        <v>1</v>
      </c>
      <c r="C216" s="12">
        <v>1</v>
      </c>
      <c r="D216" s="12">
        <v>2</v>
      </c>
      <c r="E216" s="12">
        <v>3</v>
      </c>
    </row>
    <row r="217" spans="1:14" x14ac:dyDescent="0.25">
      <c r="B217" s="12">
        <v>2</v>
      </c>
      <c r="C217" s="12">
        <v>4</v>
      </c>
      <c r="D217" s="12">
        <v>5</v>
      </c>
      <c r="E217" s="12">
        <v>6</v>
      </c>
    </row>
    <row r="218" spans="1:14" x14ac:dyDescent="0.25">
      <c r="B218" s="12"/>
      <c r="C218" s="12"/>
      <c r="D218" s="12"/>
      <c r="E218" s="12"/>
    </row>
    <row r="219" spans="1:14" x14ac:dyDescent="0.25">
      <c r="A219" t="b">
        <f>AND(K219:N222)</f>
        <v>1</v>
      </c>
      <c r="B219" s="3" t="s">
        <v>73</v>
      </c>
      <c r="C219" s="1"/>
      <c r="D219" s="15" t="s">
        <v>51</v>
      </c>
      <c r="E219" s="15" t="s">
        <v>51</v>
      </c>
      <c r="F219" s="15" t="s">
        <v>52</v>
      </c>
      <c r="G219" s="16" t="str">
        <f t="array" ref="G219:J222">write_df_2header_1unnamedindex()</f>
        <v/>
      </c>
      <c r="H219" s="16" t="str">
        <v>a</v>
      </c>
      <c r="I219" s="16" t="str">
        <v>a</v>
      </c>
      <c r="J219" s="16" t="str">
        <v>b</v>
      </c>
      <c r="K219" t="b">
        <f>G219=C219</f>
        <v>1</v>
      </c>
      <c r="L219" t="b">
        <f t="shared" ref="L219:L222" si="32">H219=D219</f>
        <v>1</v>
      </c>
      <c r="M219" t="b">
        <f t="shared" ref="M219:M222" si="33">I219=E219</f>
        <v>1</v>
      </c>
      <c r="N219" t="b">
        <f t="shared" ref="N219:N222" si="34">J219=F219</f>
        <v>1</v>
      </c>
    </row>
    <row r="220" spans="1:14" x14ac:dyDescent="0.25">
      <c r="B220" s="12"/>
      <c r="C220" s="15"/>
      <c r="D220" s="15" t="s">
        <v>53</v>
      </c>
      <c r="E220" s="15" t="s">
        <v>58</v>
      </c>
      <c r="F220" s="15" t="s">
        <v>53</v>
      </c>
      <c r="G220" s="16" t="str">
        <v/>
      </c>
      <c r="H220" s="16" t="str">
        <v>c</v>
      </c>
      <c r="I220" s="16" t="str">
        <v>d</v>
      </c>
      <c r="J220" s="16" t="str">
        <v>c</v>
      </c>
      <c r="K220" t="b">
        <f t="shared" ref="K220:K222" si="35">G220=C220</f>
        <v>1</v>
      </c>
      <c r="L220" t="b">
        <f t="shared" si="32"/>
        <v>1</v>
      </c>
      <c r="M220" t="b">
        <f t="shared" si="33"/>
        <v>1</v>
      </c>
      <c r="N220" t="b">
        <f t="shared" si="34"/>
        <v>1</v>
      </c>
    </row>
    <row r="221" spans="1:14" x14ac:dyDescent="0.25">
      <c r="B221" s="12"/>
      <c r="C221" s="15">
        <v>1</v>
      </c>
      <c r="D221" s="15">
        <v>1</v>
      </c>
      <c r="E221" s="15">
        <v>2</v>
      </c>
      <c r="F221" s="15">
        <v>3</v>
      </c>
      <c r="G221" s="16">
        <v>1</v>
      </c>
      <c r="H221" s="16">
        <v>1</v>
      </c>
      <c r="I221" s="16">
        <v>2</v>
      </c>
      <c r="J221" s="16">
        <v>3</v>
      </c>
      <c r="K221" t="b">
        <f t="shared" si="35"/>
        <v>1</v>
      </c>
      <c r="L221" t="b">
        <f t="shared" si="32"/>
        <v>1</v>
      </c>
      <c r="M221" t="b">
        <f t="shared" si="33"/>
        <v>1</v>
      </c>
      <c r="N221" t="b">
        <f t="shared" si="34"/>
        <v>1</v>
      </c>
    </row>
    <row r="222" spans="1:14" x14ac:dyDescent="0.25">
      <c r="B222" s="12"/>
      <c r="C222" s="15">
        <v>2</v>
      </c>
      <c r="D222" s="15">
        <v>4</v>
      </c>
      <c r="E222" s="15">
        <v>5</v>
      </c>
      <c r="F222" s="15">
        <v>6</v>
      </c>
      <c r="G222" s="16">
        <v>2</v>
      </c>
      <c r="H222" s="16">
        <v>4</v>
      </c>
      <c r="I222" s="16">
        <v>5</v>
      </c>
      <c r="J222" s="16">
        <v>6</v>
      </c>
      <c r="K222" t="b">
        <f t="shared" si="35"/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4" spans="1:14" x14ac:dyDescent="0.25">
      <c r="A224" t="b">
        <f>H224</f>
        <v>1</v>
      </c>
      <c r="B224" s="3" t="s">
        <v>63</v>
      </c>
      <c r="F224" s="1" t="b">
        <v>1</v>
      </c>
      <c r="G224" s="2" t="b">
        <f>read_df_2header_2namedindex(B225:F229)</f>
        <v>1</v>
      </c>
      <c r="H224" t="b">
        <f>G224=F224</f>
        <v>1</v>
      </c>
    </row>
    <row r="225" spans="1:16" x14ac:dyDescent="0.25">
      <c r="B225" s="12"/>
      <c r="C225" s="12"/>
      <c r="D225" s="12" t="s">
        <v>51</v>
      </c>
      <c r="E225" s="12" t="s">
        <v>51</v>
      </c>
      <c r="F225" s="12" t="s">
        <v>52</v>
      </c>
    </row>
    <row r="226" spans="1:16" x14ac:dyDescent="0.25">
      <c r="B226" s="12" t="s">
        <v>64</v>
      </c>
      <c r="C226" s="12" t="s">
        <v>65</v>
      </c>
      <c r="D226" s="12" t="s">
        <v>53</v>
      </c>
      <c r="E226" s="12" t="s">
        <v>58</v>
      </c>
      <c r="F226" s="12" t="s">
        <v>53</v>
      </c>
    </row>
    <row r="227" spans="1:16" x14ac:dyDescent="0.25">
      <c r="B227" s="12" t="s">
        <v>51</v>
      </c>
      <c r="C227" s="12">
        <v>1</v>
      </c>
      <c r="D227" s="12">
        <v>1</v>
      </c>
      <c r="E227" s="12">
        <v>2</v>
      </c>
      <c r="F227" s="12">
        <v>3</v>
      </c>
    </row>
    <row r="228" spans="1:16" x14ac:dyDescent="0.25">
      <c r="B228" s="12" t="s">
        <v>51</v>
      </c>
      <c r="C228" s="12">
        <v>2</v>
      </c>
      <c r="D228" s="12">
        <v>4</v>
      </c>
      <c r="E228" s="12">
        <v>5</v>
      </c>
      <c r="F228" s="12">
        <v>6</v>
      </c>
    </row>
    <row r="229" spans="1:16" x14ac:dyDescent="0.25">
      <c r="B229" s="12" t="s">
        <v>52</v>
      </c>
      <c r="C229" s="12">
        <v>1</v>
      </c>
      <c r="D229" s="12">
        <v>7</v>
      </c>
      <c r="E229" s="12">
        <v>8</v>
      </c>
      <c r="F229" s="12">
        <v>9</v>
      </c>
    </row>
    <row r="230" spans="1:16" x14ac:dyDescent="0.25">
      <c r="B230" s="12"/>
      <c r="C230" s="12"/>
      <c r="D230" s="12"/>
      <c r="E230" s="12"/>
      <c r="F230" s="12"/>
    </row>
    <row r="231" spans="1:16" x14ac:dyDescent="0.25">
      <c r="A231" t="b">
        <f>AND(L232:P236)</f>
        <v>1</v>
      </c>
      <c r="B231" s="3" t="s">
        <v>74</v>
      </c>
      <c r="C231" s="12"/>
      <c r="D231" s="12"/>
      <c r="E231" s="12"/>
      <c r="F231" s="12"/>
    </row>
    <row r="232" spans="1:16" x14ac:dyDescent="0.25">
      <c r="B232" s="15"/>
      <c r="C232" s="15"/>
      <c r="D232" s="15" t="s">
        <v>51</v>
      </c>
      <c r="E232" s="15" t="s">
        <v>51</v>
      </c>
      <c r="F232" s="15" t="s">
        <v>52</v>
      </c>
      <c r="G232" s="16" t="str">
        <f t="array" ref="G232:K236">write_df_2header_2namedindex()</f>
        <v/>
      </c>
      <c r="H232" s="16" t="str">
        <v/>
      </c>
      <c r="I232" s="16" t="str">
        <v>a</v>
      </c>
      <c r="J232" s="16" t="str">
        <v>a</v>
      </c>
      <c r="K232" s="16" t="str">
        <v>b</v>
      </c>
      <c r="L232" t="b">
        <f>G232=B232</f>
        <v>1</v>
      </c>
      <c r="M232" t="b">
        <f t="shared" ref="M232:P232" si="36">H232=C232</f>
        <v>1</v>
      </c>
      <c r="N232" t="b">
        <f t="shared" si="36"/>
        <v>1</v>
      </c>
      <c r="O232" t="b">
        <f t="shared" si="36"/>
        <v>1</v>
      </c>
      <c r="P232" t="b">
        <f t="shared" si="36"/>
        <v>1</v>
      </c>
    </row>
    <row r="233" spans="1:16" x14ac:dyDescent="0.25">
      <c r="B233" s="15" t="s">
        <v>64</v>
      </c>
      <c r="C233" s="15" t="s">
        <v>65</v>
      </c>
      <c r="D233" s="15" t="s">
        <v>53</v>
      </c>
      <c r="E233" s="15" t="s">
        <v>58</v>
      </c>
      <c r="F233" s="15" t="s">
        <v>53</v>
      </c>
      <c r="G233" s="16" t="str">
        <v>x1</v>
      </c>
      <c r="H233" s="16" t="str">
        <v>x2</v>
      </c>
      <c r="I233" s="16" t="str">
        <v>c</v>
      </c>
      <c r="J233" s="16" t="str">
        <v>d</v>
      </c>
      <c r="K233" s="16" t="str">
        <v>c</v>
      </c>
      <c r="L233" t="b">
        <f t="shared" ref="L233:L236" si="37">G233=B233</f>
        <v>1</v>
      </c>
      <c r="M233" t="b">
        <f t="shared" ref="M233:M236" si="38">H233=C233</f>
        <v>1</v>
      </c>
      <c r="N233" t="b">
        <f t="shared" ref="N233:N236" si="39">I233=D233</f>
        <v>1</v>
      </c>
      <c r="O233" t="b">
        <f t="shared" ref="O233:O236" si="40">J233=E233</f>
        <v>1</v>
      </c>
      <c r="P233" t="b">
        <f t="shared" ref="P233:P236" si="41">K233=F233</f>
        <v>1</v>
      </c>
    </row>
    <row r="234" spans="1:16" x14ac:dyDescent="0.25">
      <c r="B234" s="15" t="s">
        <v>51</v>
      </c>
      <c r="C234" s="15">
        <v>1</v>
      </c>
      <c r="D234" s="15">
        <v>1</v>
      </c>
      <c r="E234" s="15">
        <v>2</v>
      </c>
      <c r="F234" s="15">
        <v>3</v>
      </c>
      <c r="G234" s="16" t="str">
        <v>a</v>
      </c>
      <c r="H234" s="16">
        <v>1</v>
      </c>
      <c r="I234" s="16">
        <v>1</v>
      </c>
      <c r="J234" s="16">
        <v>2</v>
      </c>
      <c r="K234" s="16">
        <v>3</v>
      </c>
      <c r="L234" t="b">
        <f t="shared" si="37"/>
        <v>1</v>
      </c>
      <c r="M234" t="b">
        <f t="shared" si="38"/>
        <v>1</v>
      </c>
      <c r="N234" t="b">
        <f t="shared" si="39"/>
        <v>1</v>
      </c>
      <c r="O234" t="b">
        <f t="shared" si="40"/>
        <v>1</v>
      </c>
      <c r="P234" t="b">
        <f t="shared" si="41"/>
        <v>1</v>
      </c>
    </row>
    <row r="235" spans="1:16" x14ac:dyDescent="0.25">
      <c r="B235" s="15" t="s">
        <v>51</v>
      </c>
      <c r="C235" s="15">
        <v>2</v>
      </c>
      <c r="D235" s="15">
        <v>4</v>
      </c>
      <c r="E235" s="15">
        <v>5</v>
      </c>
      <c r="F235" s="15">
        <v>6</v>
      </c>
      <c r="G235" s="16" t="str">
        <v>a</v>
      </c>
      <c r="H235" s="16">
        <v>2</v>
      </c>
      <c r="I235" s="16">
        <v>4</v>
      </c>
      <c r="J235" s="16">
        <v>5</v>
      </c>
      <c r="K235" s="16">
        <v>6</v>
      </c>
      <c r="L235" t="b">
        <f t="shared" si="37"/>
        <v>1</v>
      </c>
      <c r="M235" t="b">
        <f t="shared" si="38"/>
        <v>1</v>
      </c>
      <c r="N235" t="b">
        <f t="shared" si="39"/>
        <v>1</v>
      </c>
      <c r="O235" t="b">
        <f t="shared" si="40"/>
        <v>1</v>
      </c>
      <c r="P235" t="b">
        <f t="shared" si="41"/>
        <v>1</v>
      </c>
    </row>
    <row r="236" spans="1:16" x14ac:dyDescent="0.25">
      <c r="B236" s="15" t="s">
        <v>52</v>
      </c>
      <c r="C236" s="15">
        <v>1</v>
      </c>
      <c r="D236" s="15">
        <v>7</v>
      </c>
      <c r="E236" s="15">
        <v>8</v>
      </c>
      <c r="F236" s="15">
        <v>9</v>
      </c>
      <c r="G236" s="16" t="str">
        <v>b</v>
      </c>
      <c r="H236" s="16">
        <v>1</v>
      </c>
      <c r="I236" s="16">
        <v>7</v>
      </c>
      <c r="J236" s="16">
        <v>8</v>
      </c>
      <c r="K236" s="16">
        <v>9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2"/>
      <c r="C237" s="12"/>
      <c r="D237" s="12"/>
      <c r="E237" s="12"/>
      <c r="F237" s="12"/>
    </row>
    <row r="240" spans="1:16" x14ac:dyDescent="0.25">
      <c r="A240" t="b">
        <f>H240</f>
        <v>1</v>
      </c>
      <c r="B240" s="3" t="s">
        <v>66</v>
      </c>
      <c r="F240" s="1" t="b">
        <v>1</v>
      </c>
      <c r="G240" s="2" t="b">
        <f>read_df_2header_2unnamedindex(B241:F245)</f>
        <v>1</v>
      </c>
      <c r="H240" t="b">
        <f>G240=F240</f>
        <v>1</v>
      </c>
    </row>
    <row r="241" spans="1:16" x14ac:dyDescent="0.25">
      <c r="B241" s="12"/>
      <c r="C241" s="12"/>
      <c r="D241" s="12" t="s">
        <v>51</v>
      </c>
      <c r="E241" s="12" t="s">
        <v>51</v>
      </c>
      <c r="F241" s="12" t="s">
        <v>52</v>
      </c>
    </row>
    <row r="242" spans="1:16" x14ac:dyDescent="0.25">
      <c r="B242" s="12"/>
      <c r="C242" s="12"/>
      <c r="D242" s="12" t="s">
        <v>53</v>
      </c>
      <c r="E242" s="12" t="s">
        <v>58</v>
      </c>
      <c r="F242" s="12" t="s">
        <v>53</v>
      </c>
    </row>
    <row r="243" spans="1:16" x14ac:dyDescent="0.25">
      <c r="B243" s="12" t="s">
        <v>51</v>
      </c>
      <c r="C243" s="12">
        <v>1</v>
      </c>
      <c r="D243" s="12">
        <v>1</v>
      </c>
      <c r="E243" s="12">
        <v>2</v>
      </c>
      <c r="F243" s="12">
        <v>3</v>
      </c>
    </row>
    <row r="244" spans="1:16" x14ac:dyDescent="0.25">
      <c r="B244" s="12" t="s">
        <v>51</v>
      </c>
      <c r="C244" s="12">
        <v>2</v>
      </c>
      <c r="D244" s="12">
        <v>4</v>
      </c>
      <c r="E244" s="12">
        <v>5</v>
      </c>
      <c r="F244" s="12">
        <v>6</v>
      </c>
    </row>
    <row r="245" spans="1:16" x14ac:dyDescent="0.25">
      <c r="B245" s="12" t="s">
        <v>52</v>
      </c>
      <c r="C245" s="12">
        <v>1</v>
      </c>
      <c r="D245" s="12">
        <v>7</v>
      </c>
      <c r="E245" s="12">
        <v>8</v>
      </c>
      <c r="F245" s="12">
        <v>9</v>
      </c>
    </row>
    <row r="246" spans="1:16" x14ac:dyDescent="0.25">
      <c r="B246" s="12"/>
      <c r="C246" s="12"/>
      <c r="D246" s="12"/>
      <c r="E246" s="12"/>
      <c r="F246" s="12"/>
    </row>
    <row r="247" spans="1:16" x14ac:dyDescent="0.25">
      <c r="A247" t="b">
        <f>AND(L248:P252)</f>
        <v>1</v>
      </c>
      <c r="B247" s="3" t="s">
        <v>75</v>
      </c>
      <c r="C247" s="12"/>
      <c r="D247" s="12"/>
      <c r="E247" s="12"/>
      <c r="F247" s="12"/>
    </row>
    <row r="248" spans="1:16" x14ac:dyDescent="0.25">
      <c r="B248" s="15"/>
      <c r="C248" s="15"/>
      <c r="D248" s="15" t="s">
        <v>51</v>
      </c>
      <c r="E248" s="15" t="s">
        <v>51</v>
      </c>
      <c r="F248" s="15" t="s">
        <v>52</v>
      </c>
      <c r="G248" s="16" t="str">
        <f t="array" ref="G248:K252">write_df_2header_2unnamedindex()</f>
        <v/>
      </c>
      <c r="H248" s="16" t="str">
        <v/>
      </c>
      <c r="I248" s="16" t="str">
        <v>a</v>
      </c>
      <c r="J248" s="16" t="str">
        <v>a</v>
      </c>
      <c r="K248" s="16" t="str">
        <v>b</v>
      </c>
      <c r="L248" t="b">
        <f>G248=B248</f>
        <v>1</v>
      </c>
      <c r="M248" t="b">
        <f t="shared" ref="M248:M252" si="42">H248=C248</f>
        <v>1</v>
      </c>
      <c r="N248" t="b">
        <f t="shared" ref="N248:N252" si="43">I248=D248</f>
        <v>1</v>
      </c>
      <c r="O248" t="b">
        <f t="shared" ref="O248:O252" si="44">J248=E248</f>
        <v>1</v>
      </c>
      <c r="P248" t="b">
        <f t="shared" ref="P248:P252" si="45">K248=F248</f>
        <v>1</v>
      </c>
    </row>
    <row r="249" spans="1:16" x14ac:dyDescent="0.25">
      <c r="B249" s="15"/>
      <c r="C249" s="15"/>
      <c r="D249" s="15" t="s">
        <v>53</v>
      </c>
      <c r="E249" s="15" t="s">
        <v>58</v>
      </c>
      <c r="F249" s="15" t="s">
        <v>53</v>
      </c>
      <c r="G249" s="16" t="str">
        <v/>
      </c>
      <c r="H249" s="16" t="str">
        <v/>
      </c>
      <c r="I249" s="16" t="str">
        <v>c</v>
      </c>
      <c r="J249" s="16" t="str">
        <v>d</v>
      </c>
      <c r="K249" s="16" t="str">
        <v>c</v>
      </c>
      <c r="L249" t="b">
        <f t="shared" ref="L249:L252" si="46">G249=B249</f>
        <v>1</v>
      </c>
      <c r="M249" t="b">
        <f t="shared" si="42"/>
        <v>1</v>
      </c>
      <c r="N249" t="b">
        <f t="shared" si="43"/>
        <v>1</v>
      </c>
      <c r="O249" t="b">
        <f t="shared" si="44"/>
        <v>1</v>
      </c>
      <c r="P249" t="b">
        <f t="shared" si="45"/>
        <v>1</v>
      </c>
    </row>
    <row r="250" spans="1:16" x14ac:dyDescent="0.25">
      <c r="B250" s="15" t="s">
        <v>51</v>
      </c>
      <c r="C250" s="15">
        <v>1</v>
      </c>
      <c r="D250" s="15">
        <v>1</v>
      </c>
      <c r="E250" s="15">
        <v>2</v>
      </c>
      <c r="F250" s="15">
        <v>3</v>
      </c>
      <c r="G250" s="16" t="str">
        <v>a</v>
      </c>
      <c r="H250" s="16">
        <v>1</v>
      </c>
      <c r="I250" s="16">
        <v>1</v>
      </c>
      <c r="J250" s="16">
        <v>2</v>
      </c>
      <c r="K250" s="16">
        <v>3</v>
      </c>
      <c r="L250" t="b">
        <f t="shared" si="46"/>
        <v>1</v>
      </c>
      <c r="M250" t="b">
        <f t="shared" si="42"/>
        <v>1</v>
      </c>
      <c r="N250" t="b">
        <f t="shared" si="43"/>
        <v>1</v>
      </c>
      <c r="O250" t="b">
        <f t="shared" si="44"/>
        <v>1</v>
      </c>
      <c r="P250" t="b">
        <f t="shared" si="45"/>
        <v>1</v>
      </c>
    </row>
    <row r="251" spans="1:16" x14ac:dyDescent="0.25">
      <c r="B251" s="15" t="s">
        <v>51</v>
      </c>
      <c r="C251" s="15">
        <v>2</v>
      </c>
      <c r="D251" s="15">
        <v>4</v>
      </c>
      <c r="E251" s="15">
        <v>5</v>
      </c>
      <c r="F251" s="15">
        <v>6</v>
      </c>
      <c r="G251" s="16" t="str">
        <v>a</v>
      </c>
      <c r="H251" s="16">
        <v>2</v>
      </c>
      <c r="I251" s="16">
        <v>4</v>
      </c>
      <c r="J251" s="16">
        <v>5</v>
      </c>
      <c r="K251" s="16">
        <v>6</v>
      </c>
      <c r="L251" t="b">
        <f t="shared" si="46"/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52</v>
      </c>
      <c r="C252" s="15">
        <v>1</v>
      </c>
      <c r="D252" s="15">
        <v>7</v>
      </c>
      <c r="E252" s="15">
        <v>8</v>
      </c>
      <c r="F252" s="15">
        <v>9</v>
      </c>
      <c r="G252" s="16" t="str">
        <v>b</v>
      </c>
      <c r="H252" s="16">
        <v>1</v>
      </c>
      <c r="I252" s="16">
        <v>7</v>
      </c>
      <c r="J252" s="16">
        <v>8</v>
      </c>
      <c r="K252" s="16">
        <v>9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4" spans="1:16" x14ac:dyDescent="0.25">
      <c r="A254" t="b">
        <f>H254</f>
        <v>1</v>
      </c>
      <c r="B254" s="3" t="s">
        <v>67</v>
      </c>
      <c r="F254" s="1" t="b">
        <v>1</v>
      </c>
      <c r="G254" s="2" t="b">
        <f>read_df_1header_2namedindex(B255:F258)</f>
        <v>1</v>
      </c>
      <c r="H254" t="b">
        <f>G254=F254</f>
        <v>1</v>
      </c>
    </row>
    <row r="255" spans="1:16" x14ac:dyDescent="0.25">
      <c r="B255" s="12" t="s">
        <v>64</v>
      </c>
      <c r="C255" s="12" t="s">
        <v>65</v>
      </c>
      <c r="D255" s="12" t="s">
        <v>51</v>
      </c>
      <c r="E255" s="12" t="s">
        <v>58</v>
      </c>
      <c r="F255" s="12" t="s">
        <v>53</v>
      </c>
    </row>
    <row r="256" spans="1:16" x14ac:dyDescent="0.25">
      <c r="B256" s="12" t="s">
        <v>51</v>
      </c>
      <c r="C256" s="12">
        <v>1</v>
      </c>
      <c r="D256" s="12">
        <v>1</v>
      </c>
      <c r="E256" s="12">
        <v>2</v>
      </c>
      <c r="F256" s="12">
        <v>3</v>
      </c>
    </row>
    <row r="257" spans="1:16" x14ac:dyDescent="0.25">
      <c r="B257" s="12" t="s">
        <v>51</v>
      </c>
      <c r="C257" s="12">
        <v>2</v>
      </c>
      <c r="D257" s="12">
        <v>4</v>
      </c>
      <c r="E257" s="12">
        <v>5</v>
      </c>
      <c r="F257" s="12">
        <v>6</v>
      </c>
    </row>
    <row r="258" spans="1:16" x14ac:dyDescent="0.25">
      <c r="B258" s="12" t="s">
        <v>52</v>
      </c>
      <c r="C258" s="12">
        <v>1</v>
      </c>
      <c r="D258" s="12">
        <v>7</v>
      </c>
      <c r="E258" s="12">
        <v>8</v>
      </c>
      <c r="F258" s="12">
        <v>9</v>
      </c>
    </row>
    <row r="259" spans="1:16" x14ac:dyDescent="0.25">
      <c r="B259" s="12"/>
      <c r="C259" s="12"/>
      <c r="D259" s="12"/>
      <c r="E259" s="12"/>
      <c r="F259" s="12"/>
    </row>
    <row r="260" spans="1:16" x14ac:dyDescent="0.25">
      <c r="A260" t="b">
        <f>AND(L261:P264)</f>
        <v>1</v>
      </c>
      <c r="B260" s="3" t="s">
        <v>76</v>
      </c>
    </row>
    <row r="261" spans="1:16" x14ac:dyDescent="0.25">
      <c r="B261" s="15" t="s">
        <v>64</v>
      </c>
      <c r="C261" s="15" t="s">
        <v>65</v>
      </c>
      <c r="D261" s="15" t="s">
        <v>51</v>
      </c>
      <c r="E261" s="15" t="s">
        <v>58</v>
      </c>
      <c r="F261" s="15" t="s">
        <v>53</v>
      </c>
      <c r="G261" s="16" t="str">
        <f t="array" ref="G261:K264">write_df_1header_2namedindex()</f>
        <v>x1</v>
      </c>
      <c r="H261" s="16" t="str">
        <v>x2</v>
      </c>
      <c r="I261" s="16" t="str">
        <v>a</v>
      </c>
      <c r="J261" s="16" t="str">
        <v>d</v>
      </c>
      <c r="K261" s="16" t="str">
        <v>c</v>
      </c>
      <c r="L261" t="b">
        <f>G261=B261</f>
        <v>1</v>
      </c>
      <c r="M261" t="b">
        <f t="shared" ref="M261:P264" si="47">H261=C261</f>
        <v>1</v>
      </c>
      <c r="N261" t="b">
        <f t="shared" si="47"/>
        <v>1</v>
      </c>
      <c r="O261" t="b">
        <f t="shared" si="47"/>
        <v>1</v>
      </c>
      <c r="P261" t="b">
        <f t="shared" si="47"/>
        <v>1</v>
      </c>
    </row>
    <row r="262" spans="1:16" x14ac:dyDescent="0.25">
      <c r="B262" s="15" t="s">
        <v>51</v>
      </c>
      <c r="C262" s="15">
        <v>1</v>
      </c>
      <c r="D262" s="15">
        <v>1</v>
      </c>
      <c r="E262" s="15">
        <v>2</v>
      </c>
      <c r="F262" s="15">
        <v>3</v>
      </c>
      <c r="G262" s="16" t="str">
        <v>a</v>
      </c>
      <c r="H262" s="16">
        <v>1</v>
      </c>
      <c r="I262" s="16">
        <v>1</v>
      </c>
      <c r="J262" s="16">
        <v>2</v>
      </c>
      <c r="K262" s="16">
        <v>3</v>
      </c>
      <c r="L262" t="b">
        <f t="shared" ref="L262:L264" si="48">G262=B262</f>
        <v>1</v>
      </c>
      <c r="M262" t="b">
        <f t="shared" si="47"/>
        <v>1</v>
      </c>
      <c r="N262" t="b">
        <f t="shared" si="47"/>
        <v>1</v>
      </c>
      <c r="O262" t="b">
        <f t="shared" si="47"/>
        <v>1</v>
      </c>
      <c r="P262" t="b">
        <f t="shared" si="47"/>
        <v>1</v>
      </c>
    </row>
    <row r="263" spans="1:16" x14ac:dyDescent="0.25">
      <c r="B263" s="15" t="s">
        <v>51</v>
      </c>
      <c r="C263" s="15">
        <v>2</v>
      </c>
      <c r="D263" s="15">
        <v>4</v>
      </c>
      <c r="E263" s="15">
        <v>5</v>
      </c>
      <c r="F263" s="15">
        <v>6</v>
      </c>
      <c r="G263" s="16" t="str">
        <v>a</v>
      </c>
      <c r="H263" s="16">
        <v>2</v>
      </c>
      <c r="I263" s="16">
        <v>4</v>
      </c>
      <c r="J263" s="16">
        <v>5</v>
      </c>
      <c r="K263" s="16">
        <v>6</v>
      </c>
      <c r="L263" t="b">
        <f t="shared" si="48"/>
        <v>1</v>
      </c>
      <c r="M263" t="b">
        <f t="shared" si="47"/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52</v>
      </c>
      <c r="C264" s="15">
        <v>1</v>
      </c>
      <c r="D264" s="15">
        <v>7</v>
      </c>
      <c r="E264" s="15">
        <v>8</v>
      </c>
      <c r="F264" s="15">
        <v>9</v>
      </c>
      <c r="G264" s="16" t="str">
        <v>b</v>
      </c>
      <c r="H264" s="16">
        <v>1</v>
      </c>
      <c r="I264" s="16">
        <v>7</v>
      </c>
      <c r="J264" s="16">
        <v>8</v>
      </c>
      <c r="K264" s="16">
        <v>9</v>
      </c>
      <c r="L264" t="b">
        <f t="shared" si="48"/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s="4" customFormat="1" x14ac:dyDescent="0.25">
      <c r="B265" s="13"/>
      <c r="C265" s="13"/>
      <c r="D265" s="13"/>
      <c r="E265" s="13"/>
      <c r="F265" s="13"/>
      <c r="G265" s="13"/>
      <c r="H265" s="13"/>
      <c r="I265" s="13"/>
      <c r="J265" s="13"/>
      <c r="K265" s="13"/>
    </row>
    <row r="266" spans="1:16" x14ac:dyDescent="0.25">
      <c r="A266" t="b">
        <f>H266</f>
        <v>1</v>
      </c>
      <c r="B266" s="3" t="s">
        <v>68</v>
      </c>
      <c r="F266" s="1" t="b">
        <v>1</v>
      </c>
      <c r="G266" s="2" t="b">
        <f>read_df_date_index(B267:E269)</f>
        <v>1</v>
      </c>
      <c r="H266" t="b">
        <f>G266=F266</f>
        <v>1</v>
      </c>
    </row>
    <row r="267" spans="1:16" x14ac:dyDescent="0.25">
      <c r="B267" s="12"/>
      <c r="C267" s="12" t="s">
        <v>53</v>
      </c>
      <c r="D267" s="12" t="s">
        <v>58</v>
      </c>
      <c r="E267" s="12" t="s">
        <v>53</v>
      </c>
    </row>
    <row r="268" spans="1:16" x14ac:dyDescent="0.25">
      <c r="B268" s="14">
        <v>36507</v>
      </c>
      <c r="C268" s="12">
        <v>1</v>
      </c>
      <c r="D268" s="12">
        <v>2</v>
      </c>
      <c r="E268" s="12">
        <v>3</v>
      </c>
    </row>
    <row r="269" spans="1:16" x14ac:dyDescent="0.25">
      <c r="B269" s="14">
        <v>36508</v>
      </c>
      <c r="C269" s="12">
        <v>4</v>
      </c>
      <c r="D269" s="12">
        <v>5</v>
      </c>
      <c r="E269" s="12">
        <v>6</v>
      </c>
    </row>
    <row r="271" spans="1:16" x14ac:dyDescent="0.25">
      <c r="A271" t="b">
        <f>AND(K271:N273)</f>
        <v>1</v>
      </c>
      <c r="B271" s="3" t="s">
        <v>77</v>
      </c>
      <c r="C271" s="15"/>
      <c r="D271" s="15" t="s">
        <v>53</v>
      </c>
      <c r="E271" s="15" t="s">
        <v>58</v>
      </c>
      <c r="F271" s="15" t="s">
        <v>53</v>
      </c>
      <c r="G271" s="16" t="str">
        <f t="array" ref="G271:J273">write_df_date_index()</f>
        <v/>
      </c>
      <c r="H271" s="16" t="str">
        <v>c</v>
      </c>
      <c r="I271" s="16" t="str">
        <v>d</v>
      </c>
      <c r="J271" s="16" t="str">
        <v>c</v>
      </c>
      <c r="K271" t="b">
        <f>G271=C271</f>
        <v>1</v>
      </c>
      <c r="L271" t="b">
        <f t="shared" ref="L271:N273" si="49">H271=D271</f>
        <v>1</v>
      </c>
      <c r="M271" t="b">
        <f t="shared" si="49"/>
        <v>1</v>
      </c>
      <c r="N271" t="b">
        <f t="shared" si="49"/>
        <v>1</v>
      </c>
    </row>
    <row r="272" spans="1:16" x14ac:dyDescent="0.25">
      <c r="C272" s="17">
        <v>36507</v>
      </c>
      <c r="D272" s="15">
        <v>1</v>
      </c>
      <c r="E272" s="15">
        <v>2</v>
      </c>
      <c r="F272" s="15">
        <v>3</v>
      </c>
      <c r="G272" s="18">
        <v>36507</v>
      </c>
      <c r="H272" s="16">
        <v>1</v>
      </c>
      <c r="I272" s="16">
        <v>2</v>
      </c>
      <c r="J272" s="16">
        <v>3</v>
      </c>
      <c r="K272" t="b">
        <f t="shared" ref="K272:K273" si="50">G272=C272</f>
        <v>1</v>
      </c>
      <c r="L272" t="b">
        <f t="shared" si="49"/>
        <v>1</v>
      </c>
      <c r="M272" t="b">
        <f t="shared" si="49"/>
        <v>1</v>
      </c>
      <c r="N272" t="b">
        <f t="shared" si="49"/>
        <v>1</v>
      </c>
    </row>
    <row r="273" spans="3:14" x14ac:dyDescent="0.25">
      <c r="C273" s="17">
        <v>36508</v>
      </c>
      <c r="D273" s="15">
        <v>4</v>
      </c>
      <c r="E273" s="15">
        <v>5</v>
      </c>
      <c r="F273" s="15">
        <v>6</v>
      </c>
      <c r="G273" s="18">
        <v>36508</v>
      </c>
      <c r="H273" s="16">
        <v>4</v>
      </c>
      <c r="I273" s="16">
        <v>5</v>
      </c>
      <c r="J273" s="16">
        <v>6</v>
      </c>
      <c r="K273" t="b">
        <f t="shared" si="50"/>
        <v>1</v>
      </c>
      <c r="L273" t="b">
        <f t="shared" si="49"/>
        <v>1</v>
      </c>
      <c r="M273" t="b">
        <f t="shared" si="49"/>
        <v>1</v>
      </c>
      <c r="N273" t="b">
        <f t="shared" si="49"/>
        <v>1</v>
      </c>
    </row>
  </sheetData>
  <conditionalFormatting sqref="A3:A168 A170:A1048576">
    <cfRule type="containsText" dxfId="1" priority="2" operator="containsText" text="FALSE">
      <formula>NOT(ISERROR(SEARCH("FALSE",A3)))</formula>
    </cfRule>
  </conditionalFormatting>
  <conditionalFormatting sqref="B3">
    <cfRule type="cellIs" dxfId="0" priority="1" operator="greaterThan">
      <formula>0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2016-02-24T08:50:38Z</dcterms:modified>
</cp:coreProperties>
</file>